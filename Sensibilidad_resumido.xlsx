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f\Desktop\"/>
    </mc:Choice>
  </mc:AlternateContent>
  <xr:revisionPtr revIDLastSave="0" documentId="8_{CF151CBB-EF64-40C5-A807-8FECF9A58FEA}" xr6:coauthVersionLast="47" xr6:coauthVersionMax="47" xr10:uidLastSave="{00000000-0000-0000-0000-000000000000}"/>
  <bookViews>
    <workbookView xWindow="-108" yWindow="-16308" windowWidth="29016" windowHeight="16416" xr2:uid="{40945F8C-B25A-4D00-B0A1-CA33CDA2B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H16" i="1"/>
  <c r="F16" i="1"/>
  <c r="K15" i="1"/>
  <c r="H15" i="1"/>
  <c r="F15" i="1"/>
  <c r="K14" i="1"/>
  <c r="H14" i="1"/>
  <c r="F14" i="1"/>
  <c r="K13" i="1"/>
  <c r="H13" i="1"/>
  <c r="F13" i="1"/>
  <c r="K12" i="1"/>
  <c r="H12" i="1"/>
  <c r="F12" i="1"/>
  <c r="K11" i="1"/>
  <c r="H11" i="1"/>
  <c r="F11" i="1"/>
  <c r="K10" i="1"/>
  <c r="H10" i="1"/>
  <c r="F10" i="1"/>
  <c r="K9" i="1"/>
  <c r="H9" i="1"/>
  <c r="F9" i="1"/>
  <c r="K8" i="1"/>
  <c r="H8" i="1"/>
  <c r="F8" i="1"/>
  <c r="K7" i="1"/>
  <c r="H7" i="1"/>
  <c r="F7" i="1"/>
  <c r="K6" i="1"/>
  <c r="H6" i="1"/>
  <c r="F6" i="1"/>
  <c r="K5" i="1"/>
  <c r="H5" i="1"/>
  <c r="F5" i="1"/>
  <c r="K4" i="1"/>
  <c r="H4" i="1"/>
  <c r="F4" i="1"/>
  <c r="K3" i="1"/>
  <c r="H3" i="1"/>
  <c r="F3" i="1"/>
  <c r="K2" i="1"/>
  <c r="H2" i="1"/>
  <c r="F2" i="1"/>
</calcChain>
</file>

<file path=xl/sharedStrings.xml><?xml version="1.0" encoding="utf-8"?>
<sst xmlns="http://schemas.openxmlformats.org/spreadsheetml/2006/main" count="71" uniqueCount="37">
  <si>
    <t>Nº</t>
  </si>
  <si>
    <t>Comuna</t>
  </si>
  <si>
    <t>SHAC</t>
  </si>
  <si>
    <t>Nombre comité</t>
  </si>
  <si>
    <t>Estructural</t>
  </si>
  <si>
    <t>Clasificación Estructural</t>
  </si>
  <si>
    <t>No Estructural</t>
  </si>
  <si>
    <t>Clasificación No Estructural</t>
  </si>
  <si>
    <t>Sumatoria Total</t>
  </si>
  <si>
    <t>Nivel Sensibilidad</t>
  </si>
  <si>
    <t>Nivel de Sensibilidad</t>
  </si>
  <si>
    <t>Ancud</t>
  </si>
  <si>
    <t>MANAO</t>
  </si>
  <si>
    <t>alta</t>
  </si>
  <si>
    <t>COÑIMO</t>
  </si>
  <si>
    <t>media</t>
  </si>
  <si>
    <t>TANTAUCO</t>
  </si>
  <si>
    <t>CALLE</t>
  </si>
  <si>
    <t>PUPELDE BAJO</t>
  </si>
  <si>
    <t>Castro</t>
  </si>
  <si>
    <t>RILAN</t>
  </si>
  <si>
    <t>muy alta</t>
  </si>
  <si>
    <t>PID PID</t>
  </si>
  <si>
    <t>LLAU LLAO - TEN TEN</t>
  </si>
  <si>
    <t>Chonchi</t>
  </si>
  <si>
    <t>Huillinco</t>
  </si>
  <si>
    <t>PINDACO - QUITRIPULLI</t>
  </si>
  <si>
    <t>Dalcahue</t>
  </si>
  <si>
    <t>COMITE DE AGUA POTABLE RURAL ASTILLEROS PUNAHUEL</t>
  </si>
  <si>
    <t>Queilen</t>
  </si>
  <si>
    <t>Quellon</t>
  </si>
  <si>
    <t>QUEILEN</t>
  </si>
  <si>
    <t xml:space="preserve">Quellón </t>
  </si>
  <si>
    <t>AUCHAC</t>
  </si>
  <si>
    <t>SAN ANTONIO - OQUELDÁN</t>
  </si>
  <si>
    <t>RÍO LLOLLE</t>
  </si>
  <si>
    <t>QUILÉN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</si>
</sst>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3"/>
      <name val="Calibri Light"/>
      <family val="2"/>
    </font>
    <font>
      <sz val="11"/>
      <color theme="1"/>
      <name val="Calibri Light"/>
      <family val="2"/>
    </font>
    <font>
      <sz val="12"/>
      <color theme="1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4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2" fontId="4" fillId="3" borderId="2" xfId="1" applyNumberFormat="1" applyFont="1" applyFill="1" applyBorder="1" applyAlignment="1">
      <alignment horizontal="center" vertical="center"/>
    </xf>
    <xf numFmtId="2" fontId="4" fillId="4" borderId="2" xfId="1" applyNumberFormat="1" applyFont="1" applyFill="1" applyBorder="1" applyAlignment="1">
      <alignment horizontal="center" vertical="center"/>
    </xf>
    <xf numFmtId="2" fontId="4" fillId="0" borderId="2" xfId="1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right"/>
    </xf>
    <xf numFmtId="0" fontId="2" fillId="0" borderId="5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top"/>
    </xf>
    <xf numFmtId="0" fontId="3" fillId="5" borderId="2" xfId="0" applyFont="1" applyFill="1" applyBorder="1" applyAlignment="1">
      <alignment horizontal="left" vertical="top"/>
    </xf>
    <xf numFmtId="2" fontId="4" fillId="5" borderId="2" xfId="1" applyNumberFormat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vertical="top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2" fontId="4" fillId="4" borderId="2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2" fontId="4" fillId="3" borderId="6" xfId="1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2" fontId="4" fillId="3" borderId="7" xfId="1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4" fillId="3" borderId="5" xfId="1" applyNumberFormat="1" applyFont="1" applyFill="1" applyBorder="1" applyAlignment="1">
      <alignment horizontal="center" vertic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A696-2B21-4494-9D08-6151BC837010}">
  <dimension ref="A1:K16"/>
  <sheetViews>
    <sheetView tabSelected="1" workbookViewId="0">
      <selection activeCell="D3" sqref="D3"/>
    </sheetView>
  </sheetViews>
  <sheetFormatPr defaultRowHeight="14.4" x14ac:dyDescent="0.3"/>
  <cols>
    <col min="1" max="1" width="3.21875" bestFit="1" customWidth="1"/>
    <col min="2" max="2" width="8.33203125" bestFit="1" customWidth="1"/>
    <col min="3" max="3" width="7.88671875" bestFit="1" customWidth="1"/>
    <col min="4" max="4" width="49.44140625" bestFit="1" customWidth="1"/>
    <col min="5" max="5" width="10.88671875" bestFit="1" customWidth="1"/>
    <col min="6" max="6" width="8.5546875" bestFit="1" customWidth="1"/>
    <col min="7" max="7" width="14" bestFit="1" customWidth="1"/>
    <col min="8" max="8" width="8.5546875" bestFit="1" customWidth="1"/>
    <col min="9" max="9" width="15.21875" bestFit="1" customWidth="1"/>
    <col min="10" max="10" width="16.88671875" bestFit="1" customWidth="1"/>
    <col min="11" max="11" width="19.77734375" bestFit="1" customWidth="1"/>
  </cols>
  <sheetData>
    <row r="1" spans="1:1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1" t="s">
        <v>8</v>
      </c>
      <c r="J1" s="6" t="s">
        <v>9</v>
      </c>
      <c r="K1" s="7" t="s">
        <v>10</v>
      </c>
    </row>
    <row r="2" spans="1:11" ht="15.6" x14ac:dyDescent="0.3">
      <c r="A2" s="8">
        <v>1</v>
      </c>
      <c r="B2" s="9" t="s">
        <v>11</v>
      </c>
      <c r="C2" s="9" t="s">
        <v>11</v>
      </c>
      <c r="D2" s="10" t="s">
        <v>12</v>
      </c>
      <c r="E2" s="11">
        <v>0.4</v>
      </c>
      <c r="F2" s="11" t="str">
        <f>IF(ROUND(E2,2)&gt;1,"Muy alta",IF(ROUND(E2,2)&gt;=0.67,"Alta",IF(ROUND(E2,2)&gt;=0.34,"Media","Baja")))</f>
        <v>Media</v>
      </c>
      <c r="G2" s="12">
        <v>0.35</v>
      </c>
      <c r="H2" s="12" t="str">
        <f>IF(ROUND(G2,2)&gt;1,"Muy alta",IF(ROUND(G2,2)&gt;=0.67,"Alta",IF(ROUND(G2,2)&gt;=0.34,"Media","Baja")))</f>
        <v>Media</v>
      </c>
      <c r="I2" s="13">
        <v>0.75</v>
      </c>
      <c r="J2" s="14" t="s">
        <v>13</v>
      </c>
      <c r="K2" s="15" t="str">
        <f>IF(ROUND(I2,2)&gt;1,"Muy alta",IF(ROUND(I2,2)&gt;=0.67,"Alta",IF(ROUND(I2,2)&gt;=0.34,"Media","Baja")))</f>
        <v>Alta</v>
      </c>
    </row>
    <row r="3" spans="1:11" ht="15.6" x14ac:dyDescent="0.3">
      <c r="A3" s="8">
        <v>2</v>
      </c>
      <c r="B3" s="9" t="s">
        <v>11</v>
      </c>
      <c r="C3" s="9" t="s">
        <v>11</v>
      </c>
      <c r="D3" s="10" t="s">
        <v>14</v>
      </c>
      <c r="E3" s="11">
        <v>0.35</v>
      </c>
      <c r="F3" s="11" t="str">
        <f t="shared" ref="F3:F16" si="0">IF(ROUND(E3,2)&gt;1,"Muy alta",IF(ROUND(E3,2)&gt;=0.67,"Alta",IF(ROUND(E3,2)&gt;=0.34,"Media","Baja")))</f>
        <v>Media</v>
      </c>
      <c r="G3" s="12">
        <v>0.2</v>
      </c>
      <c r="H3" s="12" t="str">
        <f t="shared" ref="H3:H16" si="1">IF(ROUND(G3,2)&gt;1,"Muy alta",IF(ROUND(G3,2)&gt;=0.67,"Alta",IF(ROUND(G3,2)&gt;=0.34,"Media","Baja")))</f>
        <v>Baja</v>
      </c>
      <c r="I3" s="13">
        <v>0.55000000000000004</v>
      </c>
      <c r="J3" s="14" t="s">
        <v>15</v>
      </c>
      <c r="K3" s="1" t="str">
        <f t="shared" ref="K3:K16" si="2">IF(ROUND(I3,2)&gt;1,"Muy alta",IF(ROUND(I3,2)&gt;=0.67,"Alta",IF(ROUND(I3,2)&gt;=0.34,"Media","Baja")))</f>
        <v>Media</v>
      </c>
    </row>
    <row r="4" spans="1:11" ht="28.8" x14ac:dyDescent="0.3">
      <c r="A4" s="8">
        <v>3</v>
      </c>
      <c r="B4" s="9" t="s">
        <v>11</v>
      </c>
      <c r="C4" s="9" t="s">
        <v>11</v>
      </c>
      <c r="D4" s="10" t="s">
        <v>16</v>
      </c>
      <c r="E4" s="11">
        <v>0.4</v>
      </c>
      <c r="F4" s="11" t="str">
        <f t="shared" si="0"/>
        <v>Media</v>
      </c>
      <c r="G4" s="12">
        <v>0.60000000000000009</v>
      </c>
      <c r="H4" s="12" t="str">
        <f t="shared" si="1"/>
        <v>Media</v>
      </c>
      <c r="I4" s="13">
        <v>1</v>
      </c>
      <c r="J4" s="14" t="s">
        <v>13</v>
      </c>
      <c r="K4" s="1" t="str">
        <f t="shared" si="2"/>
        <v>Alta</v>
      </c>
    </row>
    <row r="5" spans="1:11" ht="15.6" x14ac:dyDescent="0.3">
      <c r="A5" s="16">
        <v>4</v>
      </c>
      <c r="B5" s="17" t="s">
        <v>11</v>
      </c>
      <c r="C5" s="17" t="s">
        <v>11</v>
      </c>
      <c r="D5" s="17" t="s">
        <v>17</v>
      </c>
      <c r="E5" s="11">
        <v>0.44000000000000006</v>
      </c>
      <c r="F5" s="11" t="str">
        <f t="shared" si="0"/>
        <v>Media</v>
      </c>
      <c r="G5" s="12">
        <v>0.1</v>
      </c>
      <c r="H5" s="12" t="str">
        <f t="shared" si="1"/>
        <v>Baja</v>
      </c>
      <c r="I5" s="18">
        <v>0.54</v>
      </c>
      <c r="J5" s="19" t="s">
        <v>15</v>
      </c>
      <c r="K5" s="1" t="str">
        <f t="shared" si="2"/>
        <v>Media</v>
      </c>
    </row>
    <row r="6" spans="1:11" ht="15.6" x14ac:dyDescent="0.3">
      <c r="A6" s="16">
        <v>5</v>
      </c>
      <c r="B6" s="17" t="s">
        <v>11</v>
      </c>
      <c r="C6" s="17" t="s">
        <v>11</v>
      </c>
      <c r="D6" s="17" t="s">
        <v>18</v>
      </c>
      <c r="E6" s="11">
        <v>0.57000000000000006</v>
      </c>
      <c r="F6" s="11" t="str">
        <f t="shared" si="0"/>
        <v>Media</v>
      </c>
      <c r="G6" s="12">
        <v>0.35</v>
      </c>
      <c r="H6" s="12" t="str">
        <f t="shared" si="1"/>
        <v>Media</v>
      </c>
      <c r="I6" s="18">
        <v>0.92</v>
      </c>
      <c r="J6" s="19" t="s">
        <v>13</v>
      </c>
      <c r="K6" s="1" t="str">
        <f t="shared" si="2"/>
        <v>Alta</v>
      </c>
    </row>
    <row r="7" spans="1:11" ht="15.6" x14ac:dyDescent="0.3">
      <c r="A7" s="8">
        <v>6</v>
      </c>
      <c r="B7" s="9" t="s">
        <v>19</v>
      </c>
      <c r="C7" s="9" t="s">
        <v>19</v>
      </c>
      <c r="D7" s="10" t="s">
        <v>20</v>
      </c>
      <c r="E7" s="11">
        <v>0.44000000000000006</v>
      </c>
      <c r="F7" s="11" t="str">
        <f t="shared" si="0"/>
        <v>Media</v>
      </c>
      <c r="G7" s="12">
        <v>0.6</v>
      </c>
      <c r="H7" s="12" t="str">
        <f t="shared" si="1"/>
        <v>Media</v>
      </c>
      <c r="I7" s="13">
        <v>1.04</v>
      </c>
      <c r="J7" s="14" t="s">
        <v>21</v>
      </c>
      <c r="K7" s="1" t="str">
        <f t="shared" si="2"/>
        <v>Muy alta</v>
      </c>
    </row>
    <row r="8" spans="1:11" ht="15.6" x14ac:dyDescent="0.3">
      <c r="A8" s="8">
        <v>7</v>
      </c>
      <c r="B8" s="9" t="s">
        <v>19</v>
      </c>
      <c r="C8" s="9" t="s">
        <v>19</v>
      </c>
      <c r="D8" s="10" t="s">
        <v>22</v>
      </c>
      <c r="E8" s="11">
        <v>0.28000000000000003</v>
      </c>
      <c r="F8" s="11" t="str">
        <f t="shared" si="0"/>
        <v>Baja</v>
      </c>
      <c r="G8" s="12">
        <v>0.1</v>
      </c>
      <c r="H8" s="12" t="str">
        <f t="shared" si="1"/>
        <v>Baja</v>
      </c>
      <c r="I8" s="13">
        <v>0.38</v>
      </c>
      <c r="J8" s="14" t="s">
        <v>15</v>
      </c>
      <c r="K8" s="1" t="str">
        <f t="shared" si="2"/>
        <v>Media</v>
      </c>
    </row>
    <row r="9" spans="1:11" ht="43.2" x14ac:dyDescent="0.3">
      <c r="A9" s="8">
        <v>8</v>
      </c>
      <c r="B9" s="9" t="s">
        <v>19</v>
      </c>
      <c r="C9" s="9" t="s">
        <v>19</v>
      </c>
      <c r="D9" s="10" t="s">
        <v>23</v>
      </c>
      <c r="E9" s="11">
        <v>0.38</v>
      </c>
      <c r="F9" s="11" t="str">
        <f t="shared" si="0"/>
        <v>Media</v>
      </c>
      <c r="G9" s="12">
        <v>0.15000000000000002</v>
      </c>
      <c r="H9" s="12" t="str">
        <f t="shared" si="1"/>
        <v>Baja</v>
      </c>
      <c r="I9" s="13">
        <v>0.53</v>
      </c>
      <c r="J9" s="14" t="s">
        <v>15</v>
      </c>
      <c r="K9" s="1" t="str">
        <f t="shared" si="2"/>
        <v>Media</v>
      </c>
    </row>
    <row r="10" spans="1:11" ht="15.6" x14ac:dyDescent="0.3">
      <c r="A10" s="16">
        <v>9</v>
      </c>
      <c r="B10" s="17" t="s">
        <v>24</v>
      </c>
      <c r="C10" s="17" t="s">
        <v>25</v>
      </c>
      <c r="D10" s="17" t="s">
        <v>26</v>
      </c>
      <c r="E10" s="11">
        <v>0.35</v>
      </c>
      <c r="F10" s="11" t="str">
        <f t="shared" si="0"/>
        <v>Media</v>
      </c>
      <c r="G10" s="12">
        <v>0.65</v>
      </c>
      <c r="H10" s="12" t="str">
        <f t="shared" si="1"/>
        <v>Media</v>
      </c>
      <c r="I10" s="18">
        <v>1</v>
      </c>
      <c r="J10" s="19" t="s">
        <v>13</v>
      </c>
      <c r="K10" s="1" t="str">
        <f t="shared" si="2"/>
        <v>Alta</v>
      </c>
    </row>
    <row r="11" spans="1:11" ht="15.6" x14ac:dyDescent="0.3">
      <c r="A11" s="8">
        <v>10</v>
      </c>
      <c r="B11" s="20" t="s">
        <v>27</v>
      </c>
      <c r="C11" s="20" t="s">
        <v>19</v>
      </c>
      <c r="D11" s="21" t="s">
        <v>28</v>
      </c>
      <c r="E11" s="22">
        <v>0.4</v>
      </c>
      <c r="F11" s="11" t="str">
        <f t="shared" si="0"/>
        <v>Media</v>
      </c>
      <c r="G11" s="23">
        <v>0.15000000000000002</v>
      </c>
      <c r="H11" s="12" t="str">
        <f t="shared" si="1"/>
        <v>Baja</v>
      </c>
      <c r="I11" s="24">
        <v>0.55000000000000004</v>
      </c>
      <c r="J11" s="25" t="s">
        <v>15</v>
      </c>
      <c r="K11" s="1" t="str">
        <f t="shared" si="2"/>
        <v>Media</v>
      </c>
    </row>
    <row r="12" spans="1:11" ht="15.6" x14ac:dyDescent="0.3">
      <c r="A12" s="8">
        <v>11</v>
      </c>
      <c r="B12" s="20" t="s">
        <v>29</v>
      </c>
      <c r="C12" s="20" t="s">
        <v>30</v>
      </c>
      <c r="D12" s="21" t="s">
        <v>31</v>
      </c>
      <c r="E12" s="22">
        <v>0.4</v>
      </c>
      <c r="F12" s="11" t="str">
        <f t="shared" si="0"/>
        <v>Media</v>
      </c>
      <c r="G12" s="26">
        <v>0.1</v>
      </c>
      <c r="H12" s="12" t="str">
        <f t="shared" si="1"/>
        <v>Baja</v>
      </c>
      <c r="I12" s="27">
        <v>0.5</v>
      </c>
      <c r="J12" s="25" t="s">
        <v>15</v>
      </c>
      <c r="K12" s="1" t="str">
        <f t="shared" si="2"/>
        <v>Media</v>
      </c>
    </row>
    <row r="13" spans="1:11" ht="15.6" x14ac:dyDescent="0.3">
      <c r="A13" s="8">
        <v>12</v>
      </c>
      <c r="B13" s="20" t="s">
        <v>32</v>
      </c>
      <c r="C13" s="20" t="s">
        <v>30</v>
      </c>
      <c r="D13" s="21" t="s">
        <v>33</v>
      </c>
      <c r="E13" s="22">
        <v>0.41000000000000003</v>
      </c>
      <c r="F13" s="11" t="str">
        <f t="shared" si="0"/>
        <v>Media</v>
      </c>
      <c r="G13" s="23">
        <v>0.35</v>
      </c>
      <c r="H13" s="12" t="str">
        <f t="shared" si="1"/>
        <v>Media</v>
      </c>
      <c r="I13" s="24">
        <v>0.76</v>
      </c>
      <c r="J13" s="25" t="s">
        <v>13</v>
      </c>
      <c r="K13" s="1" t="str">
        <f t="shared" si="2"/>
        <v>Alta</v>
      </c>
    </row>
    <row r="14" spans="1:11" ht="72" x14ac:dyDescent="0.3">
      <c r="A14" s="8">
        <v>13</v>
      </c>
      <c r="B14" s="21" t="s">
        <v>32</v>
      </c>
      <c r="C14" s="21" t="s">
        <v>30</v>
      </c>
      <c r="D14" s="28" t="s">
        <v>34</v>
      </c>
      <c r="E14" s="22">
        <v>0.6100000000000001</v>
      </c>
      <c r="F14" s="29" t="str">
        <f t="shared" si="0"/>
        <v>Media</v>
      </c>
      <c r="G14" s="26">
        <v>0.1</v>
      </c>
      <c r="H14" s="12" t="str">
        <f t="shared" si="1"/>
        <v>Baja</v>
      </c>
      <c r="I14" s="24">
        <v>0.71000000000000008</v>
      </c>
      <c r="J14" s="25" t="s">
        <v>13</v>
      </c>
      <c r="K14" s="1" t="str">
        <f t="shared" si="2"/>
        <v>Alta</v>
      </c>
    </row>
    <row r="15" spans="1:11" ht="15.6" x14ac:dyDescent="0.3">
      <c r="A15" s="8">
        <v>14</v>
      </c>
      <c r="B15" s="20" t="s">
        <v>32</v>
      </c>
      <c r="C15" s="20" t="s">
        <v>25</v>
      </c>
      <c r="D15" s="21" t="s">
        <v>35</v>
      </c>
      <c r="E15" s="30">
        <v>0.67000000000000015</v>
      </c>
      <c r="F15" s="31" t="str">
        <f t="shared" si="0"/>
        <v>Alta</v>
      </c>
      <c r="G15" s="32">
        <v>0.35000000000000003</v>
      </c>
      <c r="H15" s="12" t="str">
        <f t="shared" si="1"/>
        <v>Media</v>
      </c>
      <c r="I15" s="24">
        <v>1.0200000000000002</v>
      </c>
      <c r="J15" s="25" t="s">
        <v>21</v>
      </c>
      <c r="K15" s="1" t="str">
        <f t="shared" si="2"/>
        <v>Muy alta</v>
      </c>
    </row>
    <row r="16" spans="1:11" ht="15.6" x14ac:dyDescent="0.3">
      <c r="A16" s="8">
        <v>15</v>
      </c>
      <c r="B16" s="20" t="s">
        <v>32</v>
      </c>
      <c r="C16" s="20" t="s">
        <v>25</v>
      </c>
      <c r="D16" s="21" t="s">
        <v>36</v>
      </c>
      <c r="E16" s="22">
        <v>0.56000000000000005</v>
      </c>
      <c r="F16" s="33" t="str">
        <f t="shared" si="0"/>
        <v>Media</v>
      </c>
      <c r="G16" s="26">
        <v>0.70000000000000007</v>
      </c>
      <c r="H16" s="12" t="str">
        <f t="shared" si="1"/>
        <v>Alta</v>
      </c>
      <c r="I16" s="24">
        <v>1.2600000000000002</v>
      </c>
      <c r="J16" s="25" t="s">
        <v>21</v>
      </c>
      <c r="K16" s="1" t="str">
        <f t="shared" si="2"/>
        <v>Muy alta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FIERRO VIEDMA</dc:creator>
  <cp:lastModifiedBy>Nicolas FIERRO VIEDMA</cp:lastModifiedBy>
  <dcterms:created xsi:type="dcterms:W3CDTF">2025-11-30T18:24:55Z</dcterms:created>
  <dcterms:modified xsi:type="dcterms:W3CDTF">2025-11-30T18:25:26Z</dcterms:modified>
</cp:coreProperties>
</file>