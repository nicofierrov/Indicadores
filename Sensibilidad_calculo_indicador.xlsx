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f\Desktop\"/>
    </mc:Choice>
  </mc:AlternateContent>
  <xr:revisionPtr revIDLastSave="0" documentId="8_{09C1A108-F2A9-47D2-9CFB-3BC77545A200}" xr6:coauthVersionLast="47" xr6:coauthVersionMax="47" xr10:uidLastSave="{00000000-0000-0000-0000-000000000000}"/>
  <bookViews>
    <workbookView xWindow="-108" yWindow="-16308" windowWidth="29016" windowHeight="16416" xr2:uid="{573A532C-470B-457F-A197-60F2CB9F4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6" i="1" l="1"/>
  <c r="BG16" i="1"/>
  <c r="BH16" i="1" s="1"/>
  <c r="AZ16" i="1"/>
  <c r="AY16" i="1"/>
  <c r="AT16" i="1"/>
  <c r="AP16" i="1"/>
  <c r="AQ16" i="1" s="1"/>
  <c r="BO16" i="1" s="1"/>
  <c r="BP16" i="1" s="1"/>
  <c r="AJ16" i="1"/>
  <c r="AK16" i="1" s="1"/>
  <c r="AC16" i="1"/>
  <c r="Z16" i="1"/>
  <c r="W16" i="1"/>
  <c r="T16" i="1"/>
  <c r="J16" i="1"/>
  <c r="D16" i="1"/>
  <c r="H16" i="1" s="1"/>
  <c r="BK15" i="1"/>
  <c r="BG15" i="1"/>
  <c r="BH15" i="1" s="1"/>
  <c r="AZ15" i="1"/>
  <c r="AY15" i="1"/>
  <c r="AT15" i="1"/>
  <c r="AQ15" i="1"/>
  <c r="BO15" i="1" s="1"/>
  <c r="BP15" i="1" s="1"/>
  <c r="AP15" i="1"/>
  <c r="AJ15" i="1"/>
  <c r="AK15" i="1" s="1"/>
  <c r="AC15" i="1"/>
  <c r="BM15" i="1" s="1"/>
  <c r="Z15" i="1"/>
  <c r="W15" i="1"/>
  <c r="T15" i="1"/>
  <c r="I15" i="1"/>
  <c r="J15" i="1" s="1"/>
  <c r="D15" i="1"/>
  <c r="H15" i="1" s="1"/>
  <c r="O15" i="1" s="1"/>
  <c r="P15" i="1" s="1"/>
  <c r="Q15" i="1" s="1"/>
  <c r="R15" i="1" s="1"/>
  <c r="BK14" i="1"/>
  <c r="BG14" i="1"/>
  <c r="BH14" i="1" s="1"/>
  <c r="AZ14" i="1"/>
  <c r="AY14" i="1"/>
  <c r="AT14" i="1"/>
  <c r="AQ14" i="1"/>
  <c r="AP14" i="1"/>
  <c r="AK14" i="1"/>
  <c r="AJ14" i="1"/>
  <c r="AC14" i="1"/>
  <c r="Z14" i="1"/>
  <c r="W14" i="1"/>
  <c r="T14" i="1"/>
  <c r="BM14" i="1" s="1"/>
  <c r="J14" i="1"/>
  <c r="D14" i="1"/>
  <c r="H14" i="1" s="1"/>
  <c r="BK13" i="1"/>
  <c r="BH13" i="1"/>
  <c r="BG13" i="1"/>
  <c r="AY13" i="1"/>
  <c r="AZ13" i="1" s="1"/>
  <c r="AT13" i="1"/>
  <c r="AP13" i="1"/>
  <c r="AQ13" i="1" s="1"/>
  <c r="BO13" i="1" s="1"/>
  <c r="BP13" i="1" s="1"/>
  <c r="AJ13" i="1"/>
  <c r="AK13" i="1" s="1"/>
  <c r="AC13" i="1"/>
  <c r="Z13" i="1"/>
  <c r="W13" i="1"/>
  <c r="T13" i="1"/>
  <c r="J13" i="1"/>
  <c r="D13" i="1"/>
  <c r="H13" i="1" s="1"/>
  <c r="O13" i="1" s="1"/>
  <c r="P13" i="1" s="1"/>
  <c r="Q13" i="1" s="1"/>
  <c r="R13" i="1" s="1"/>
  <c r="BK12" i="1"/>
  <c r="BG12" i="1"/>
  <c r="BH12" i="1" s="1"/>
  <c r="AY12" i="1"/>
  <c r="AZ12" i="1" s="1"/>
  <c r="AT12" i="1"/>
  <c r="AP12" i="1"/>
  <c r="AQ12" i="1" s="1"/>
  <c r="BO12" i="1" s="1"/>
  <c r="BP12" i="1" s="1"/>
  <c r="AJ12" i="1"/>
  <c r="AK12" i="1" s="1"/>
  <c r="AC12" i="1"/>
  <c r="Z12" i="1"/>
  <c r="W12" i="1"/>
  <c r="T12" i="1"/>
  <c r="J12" i="1"/>
  <c r="D12" i="1"/>
  <c r="H12" i="1" s="1"/>
  <c r="O12" i="1" s="1"/>
  <c r="P12" i="1" s="1"/>
  <c r="Q12" i="1" s="1"/>
  <c r="R12" i="1" s="1"/>
  <c r="BK11" i="1"/>
  <c r="BG11" i="1"/>
  <c r="BH11" i="1" s="1"/>
  <c r="AY11" i="1"/>
  <c r="AZ11" i="1" s="1"/>
  <c r="AT11" i="1"/>
  <c r="AP11" i="1"/>
  <c r="AQ11" i="1" s="1"/>
  <c r="BO11" i="1" s="1"/>
  <c r="BP11" i="1" s="1"/>
  <c r="AK11" i="1"/>
  <c r="AJ11" i="1"/>
  <c r="AC11" i="1"/>
  <c r="Z11" i="1"/>
  <c r="W11" i="1"/>
  <c r="T11" i="1"/>
  <c r="BM11" i="1" s="1"/>
  <c r="I11" i="1"/>
  <c r="J11" i="1" s="1"/>
  <c r="D11" i="1"/>
  <c r="H11" i="1" s="1"/>
  <c r="O11" i="1" s="1"/>
  <c r="P11" i="1" s="1"/>
  <c r="Q11" i="1" s="1"/>
  <c r="R11" i="1" s="1"/>
  <c r="BK10" i="1"/>
  <c r="BH10" i="1"/>
  <c r="BG10" i="1"/>
  <c r="AY10" i="1"/>
  <c r="AZ10" i="1" s="1"/>
  <c r="AT10" i="1"/>
  <c r="AP10" i="1"/>
  <c r="AQ10" i="1" s="1"/>
  <c r="BO10" i="1" s="1"/>
  <c r="BP10" i="1" s="1"/>
  <c r="AJ10" i="1"/>
  <c r="AK10" i="1" s="1"/>
  <c r="AC10" i="1"/>
  <c r="Z10" i="1"/>
  <c r="W10" i="1"/>
  <c r="BM10" i="1" s="1"/>
  <c r="T10" i="1"/>
  <c r="J10" i="1"/>
  <c r="D10" i="1"/>
  <c r="H10" i="1" s="1"/>
  <c r="BK9" i="1"/>
  <c r="BG9" i="1"/>
  <c r="BH9" i="1" s="1"/>
  <c r="BO9" i="1" s="1"/>
  <c r="BP9" i="1" s="1"/>
  <c r="AY9" i="1"/>
  <c r="AZ9" i="1" s="1"/>
  <c r="AT9" i="1"/>
  <c r="AQ9" i="1"/>
  <c r="AP9" i="1"/>
  <c r="AJ9" i="1"/>
  <c r="AK9" i="1" s="1"/>
  <c r="AC9" i="1"/>
  <c r="Z9" i="1"/>
  <c r="W9" i="1"/>
  <c r="T9" i="1"/>
  <c r="I9" i="1"/>
  <c r="J9" i="1" s="1"/>
  <c r="D9" i="1"/>
  <c r="H9" i="1" s="1"/>
  <c r="O9" i="1" s="1"/>
  <c r="P9" i="1" s="1"/>
  <c r="Q9" i="1" s="1"/>
  <c r="R9" i="1" s="1"/>
  <c r="BK8" i="1"/>
  <c r="BH8" i="1"/>
  <c r="BG8" i="1"/>
  <c r="AZ8" i="1"/>
  <c r="AY8" i="1"/>
  <c r="AT8" i="1"/>
  <c r="AP8" i="1"/>
  <c r="AQ8" i="1" s="1"/>
  <c r="BO8" i="1" s="1"/>
  <c r="BP8" i="1" s="1"/>
  <c r="AK8" i="1"/>
  <c r="AJ8" i="1"/>
  <c r="AC8" i="1"/>
  <c r="Z8" i="1"/>
  <c r="W8" i="1"/>
  <c r="T8" i="1"/>
  <c r="BM8" i="1" s="1"/>
  <c r="J8" i="1"/>
  <c r="D8" i="1"/>
  <c r="H8" i="1" s="1"/>
  <c r="BK7" i="1"/>
  <c r="BG7" i="1"/>
  <c r="BH7" i="1" s="1"/>
  <c r="AY7" i="1"/>
  <c r="AZ7" i="1" s="1"/>
  <c r="AT7" i="1"/>
  <c r="AP7" i="1"/>
  <c r="AQ7" i="1" s="1"/>
  <c r="AJ7" i="1"/>
  <c r="AK7" i="1" s="1"/>
  <c r="AC7" i="1"/>
  <c r="Z7" i="1"/>
  <c r="W7" i="1"/>
  <c r="T7" i="1"/>
  <c r="J7" i="1"/>
  <c r="D7" i="1"/>
  <c r="H7" i="1" s="1"/>
  <c r="O7" i="1" s="1"/>
  <c r="P7" i="1" s="1"/>
  <c r="Q7" i="1" s="1"/>
  <c r="R7" i="1" s="1"/>
  <c r="BK6" i="1"/>
  <c r="BH6" i="1"/>
  <c r="BG6" i="1"/>
  <c r="AY6" i="1"/>
  <c r="AZ6" i="1" s="1"/>
  <c r="AT6" i="1"/>
  <c r="AQ6" i="1"/>
  <c r="BO6" i="1" s="1"/>
  <c r="BP6" i="1" s="1"/>
  <c r="AP6" i="1"/>
  <c r="AK6" i="1"/>
  <c r="AJ6" i="1"/>
  <c r="AC6" i="1"/>
  <c r="Z6" i="1"/>
  <c r="BM6" i="1" s="1"/>
  <c r="W6" i="1"/>
  <c r="T6" i="1"/>
  <c r="J6" i="1"/>
  <c r="K6" i="1" s="1"/>
  <c r="D6" i="1"/>
  <c r="H6" i="1" s="1"/>
  <c r="O6" i="1" s="1"/>
  <c r="P6" i="1" s="1"/>
  <c r="Q6" i="1" s="1"/>
  <c r="R6" i="1" s="1"/>
  <c r="BK5" i="1"/>
  <c r="BG5" i="1"/>
  <c r="BH5" i="1" s="1"/>
  <c r="AY5" i="1"/>
  <c r="AZ5" i="1" s="1"/>
  <c r="AT5" i="1"/>
  <c r="AP5" i="1"/>
  <c r="AQ5" i="1" s="1"/>
  <c r="BO5" i="1" s="1"/>
  <c r="BP5" i="1" s="1"/>
  <c r="AJ5" i="1"/>
  <c r="AK5" i="1" s="1"/>
  <c r="AC5" i="1"/>
  <c r="Z5" i="1"/>
  <c r="W5" i="1"/>
  <c r="T5" i="1"/>
  <c r="J5" i="1"/>
  <c r="D5" i="1"/>
  <c r="H5" i="1" s="1"/>
  <c r="O5" i="1" s="1"/>
  <c r="P5" i="1" s="1"/>
  <c r="Q5" i="1" s="1"/>
  <c r="R5" i="1" s="1"/>
  <c r="BK4" i="1"/>
  <c r="BG4" i="1"/>
  <c r="BH4" i="1" s="1"/>
  <c r="AZ4" i="1"/>
  <c r="AY4" i="1"/>
  <c r="AT4" i="1"/>
  <c r="AP4" i="1"/>
  <c r="AQ4" i="1" s="1"/>
  <c r="BO4" i="1" s="1"/>
  <c r="BP4" i="1" s="1"/>
  <c r="AJ4" i="1"/>
  <c r="AK4" i="1" s="1"/>
  <c r="AC4" i="1"/>
  <c r="Z4" i="1"/>
  <c r="W4" i="1"/>
  <c r="T4" i="1"/>
  <c r="BM4" i="1" s="1"/>
  <c r="J4" i="1"/>
  <c r="D4" i="1"/>
  <c r="H4" i="1" s="1"/>
  <c r="O4" i="1" s="1"/>
  <c r="P4" i="1" s="1"/>
  <c r="Q4" i="1" s="1"/>
  <c r="R4" i="1" s="1"/>
  <c r="BK3" i="1"/>
  <c r="BG3" i="1"/>
  <c r="BH3" i="1" s="1"/>
  <c r="AY3" i="1"/>
  <c r="AZ3" i="1" s="1"/>
  <c r="AT3" i="1"/>
  <c r="AQ3" i="1"/>
  <c r="BO3" i="1" s="1"/>
  <c r="BP3" i="1" s="1"/>
  <c r="AP3" i="1"/>
  <c r="AJ3" i="1"/>
  <c r="AK3" i="1" s="1"/>
  <c r="AC3" i="1"/>
  <c r="Z3" i="1"/>
  <c r="W3" i="1"/>
  <c r="T3" i="1"/>
  <c r="BM3" i="1" s="1"/>
  <c r="J3" i="1"/>
  <c r="D3" i="1"/>
  <c r="H3" i="1" s="1"/>
  <c r="BK2" i="1"/>
  <c r="BH2" i="1"/>
  <c r="BG2" i="1"/>
  <c r="AY2" i="1"/>
  <c r="AZ2" i="1" s="1"/>
  <c r="AT2" i="1"/>
  <c r="AP2" i="1"/>
  <c r="AQ2" i="1" s="1"/>
  <c r="BO2" i="1" s="1"/>
  <c r="BP2" i="1" s="1"/>
  <c r="AJ2" i="1"/>
  <c r="AK2" i="1" s="1"/>
  <c r="AC2" i="1"/>
  <c r="Z2" i="1"/>
  <c r="W2" i="1"/>
  <c r="T2" i="1"/>
  <c r="I2" i="1"/>
  <c r="J2" i="1" s="1"/>
  <c r="D2" i="1"/>
  <c r="H2" i="1" s="1"/>
  <c r="O2" i="1" s="1"/>
  <c r="P2" i="1" s="1"/>
  <c r="Q2" i="1" s="1"/>
  <c r="R2" i="1" s="1"/>
  <c r="K5" i="1" l="1"/>
  <c r="BM5" i="1"/>
  <c r="BO7" i="1"/>
  <c r="BP7" i="1" s="1"/>
  <c r="K10" i="1"/>
  <c r="O10" i="1"/>
  <c r="P10" i="1" s="1"/>
  <c r="Q10" i="1" s="1"/>
  <c r="R10" i="1" s="1"/>
  <c r="O3" i="1"/>
  <c r="P3" i="1" s="1"/>
  <c r="Q3" i="1" s="1"/>
  <c r="R3" i="1" s="1"/>
  <c r="K3" i="1"/>
  <c r="BQ10" i="1"/>
  <c r="BS10" i="1" s="1"/>
  <c r="BN10" i="1"/>
  <c r="K15" i="1"/>
  <c r="O8" i="1"/>
  <c r="P8" i="1" s="1"/>
  <c r="Q8" i="1" s="1"/>
  <c r="R8" i="1" s="1"/>
  <c r="K8" i="1"/>
  <c r="BQ3" i="1"/>
  <c r="BS3" i="1" s="1"/>
  <c r="BN3" i="1"/>
  <c r="BQ8" i="1"/>
  <c r="BS8" i="1" s="1"/>
  <c r="BN8" i="1"/>
  <c r="K13" i="1"/>
  <c r="BQ15" i="1"/>
  <c r="BS15" i="1" s="1"/>
  <c r="BN15" i="1"/>
  <c r="BM13" i="1"/>
  <c r="BQ6" i="1"/>
  <c r="BS6" i="1" s="1"/>
  <c r="BN6" i="1"/>
  <c r="O16" i="1"/>
  <c r="P16" i="1" s="1"/>
  <c r="Q16" i="1" s="1"/>
  <c r="R16" i="1" s="1"/>
  <c r="K16" i="1"/>
  <c r="K14" i="1"/>
  <c r="O14" i="1"/>
  <c r="P14" i="1" s="1"/>
  <c r="Q14" i="1" s="1"/>
  <c r="R14" i="1" s="1"/>
  <c r="K9" i="1"/>
  <c r="BM16" i="1"/>
  <c r="K11" i="1"/>
  <c r="BQ11" i="1"/>
  <c r="BS11" i="1" s="1"/>
  <c r="BN11" i="1"/>
  <c r="K4" i="1"/>
  <c r="BQ4" i="1"/>
  <c r="BS4" i="1" s="1"/>
  <c r="BN4" i="1"/>
  <c r="BN14" i="1"/>
  <c r="K2" i="1"/>
  <c r="K7" i="1"/>
  <c r="BM9" i="1"/>
  <c r="BM2" i="1"/>
  <c r="BM7" i="1"/>
  <c r="K12" i="1"/>
  <c r="BM12" i="1"/>
  <c r="BO14" i="1"/>
  <c r="BP14" i="1" s="1"/>
  <c r="BQ16" i="1" l="1"/>
  <c r="BS16" i="1" s="1"/>
  <c r="BN16" i="1"/>
  <c r="BN7" i="1"/>
  <c r="BQ7" i="1"/>
  <c r="BS7" i="1" s="1"/>
  <c r="BQ2" i="1"/>
  <c r="BS2" i="1" s="1"/>
  <c r="BN2" i="1"/>
  <c r="BN13" i="1"/>
  <c r="BQ13" i="1"/>
  <c r="BS13" i="1" s="1"/>
  <c r="BQ12" i="1"/>
  <c r="BS12" i="1" s="1"/>
  <c r="BN12" i="1"/>
  <c r="BN9" i="1"/>
  <c r="BQ9" i="1"/>
  <c r="BS9" i="1" s="1"/>
  <c r="BQ5" i="1"/>
  <c r="BS5" i="1" s="1"/>
  <c r="BN5" i="1"/>
  <c r="BQ14" i="1"/>
  <c r="BS14" i="1" s="1"/>
</calcChain>
</file>

<file path=xl/sharedStrings.xml><?xml version="1.0" encoding="utf-8"?>
<sst xmlns="http://schemas.openxmlformats.org/spreadsheetml/2006/main" count="141" uniqueCount="73">
  <si>
    <t>Nombre comité</t>
  </si>
  <si>
    <t>Nº habitantes comuna (CENSO 2017)</t>
  </si>
  <si>
    <t>Nº viviendas comuna (CENSO 2017)</t>
  </si>
  <si>
    <t>Nºintegrantes por vivienda</t>
  </si>
  <si>
    <t>Tipo de fuente</t>
  </si>
  <si>
    <t>Nº arranques</t>
  </si>
  <si>
    <t>Arranques pendientes</t>
  </si>
  <si>
    <t>Nº habitantes abastecidos</t>
  </si>
  <si>
    <t>Capacidad de almacenamiento(m3)</t>
  </si>
  <si>
    <t>Capacidad de almacenamiento(l)</t>
  </si>
  <si>
    <t>Capacidad de almacenamiento per cápita(l/pers)</t>
  </si>
  <si>
    <t>código_suministro [si=0; si, limitada=0,5; no=1]</t>
  </si>
  <si>
    <t>consumo estival percapida, por normativa 100L/hab/d</t>
  </si>
  <si>
    <t>días autonomía (1 día)</t>
  </si>
  <si>
    <t>Qdemanda (m3/d)</t>
  </si>
  <si>
    <t>Qfuente_confiable(m3/d)</t>
  </si>
  <si>
    <t>Qsegura</t>
  </si>
  <si>
    <t>razón Qsegura/Qdemanda</t>
  </si>
  <si>
    <t>S1. Nº arranques</t>
  </si>
  <si>
    <t>S2. razón demanda segura período estival</t>
  </si>
  <si>
    <t>S3. crecimiento de la población</t>
  </si>
  <si>
    <t>S4. capacidad de almacenamiento pér capita</t>
  </si>
  <si>
    <t>captación</t>
  </si>
  <si>
    <t>tratamiento</t>
  </si>
  <si>
    <t>sistema de respaldo electrico</t>
  </si>
  <si>
    <t>impulsión</t>
  </si>
  <si>
    <t>almacenamiento</t>
  </si>
  <si>
    <t>S5. Disponibilidad de componentes básicos para el funcionamiento de una SSR</t>
  </si>
  <si>
    <t>Existencia de registros digital/manual</t>
  </si>
  <si>
    <t>Frecuencia de muestreos</t>
  </si>
  <si>
    <t>Parámetros críticos monitoreados</t>
  </si>
  <si>
    <t>S6. Disponibilidad y completitud de registros de calidad del agua entregada por la SSR</t>
  </si>
  <si>
    <t>S7. Diversificación de fuentes de agua</t>
  </si>
  <si>
    <t>Interrupción por fallas en la infraestructura</t>
  </si>
  <si>
    <t>Interrupción por baja disponibilidad de agua en la fuente</t>
  </si>
  <si>
    <t>Interrupción por eventos extremos climáticos</t>
  </si>
  <si>
    <t>S8. Interrupciones en el servicio por temas infraestructurales o disponibilidad de agua en las fuentes de captación</t>
  </si>
  <si>
    <t>Conocimiento de instrumentos administrativos</t>
  </si>
  <si>
    <t>Capacidad financiera</t>
  </si>
  <si>
    <t>Discontinuidad administrativa</t>
  </si>
  <si>
    <t>Honorarios para administración/gestión</t>
  </si>
  <si>
    <t>Colaboración inter-SSR</t>
  </si>
  <si>
    <t>S9. Capacidad de gobernanza y gestión comunitaria del SSR</t>
  </si>
  <si>
    <t>S10. Disponibilidad/cantidad de DAA asignadas a la SSR</t>
  </si>
  <si>
    <t>Estructural</t>
  </si>
  <si>
    <t>Clasificación</t>
  </si>
  <si>
    <t>No Estructural</t>
  </si>
  <si>
    <t>Sumatoria</t>
  </si>
  <si>
    <t>Nivel de sensibilidad</t>
  </si>
  <si>
    <t>Nivel sensibilidad formula</t>
  </si>
  <si>
    <t>MANAO</t>
  </si>
  <si>
    <t>Mixta</t>
  </si>
  <si>
    <t>muy baja</t>
  </si>
  <si>
    <t>media</t>
  </si>
  <si>
    <t>alta</t>
  </si>
  <si>
    <t>COÑIMO</t>
  </si>
  <si>
    <t>TANTAUCO</t>
  </si>
  <si>
    <t>Subterranea</t>
  </si>
  <si>
    <t>CALLE</t>
  </si>
  <si>
    <t>baja</t>
  </si>
  <si>
    <t>PUPELDE BAJO</t>
  </si>
  <si>
    <t>Superficial</t>
  </si>
  <si>
    <t>muy alta</t>
  </si>
  <si>
    <t>RILAN</t>
  </si>
  <si>
    <t>PID PID</t>
  </si>
  <si>
    <t>LLAU LLAO - TEN TEN</t>
  </si>
  <si>
    <t>PINDACO - QUITRIPULLI</t>
  </si>
  <si>
    <t>COMITE DE AGUA POTABLE RURAL ASTILLEROS PUNAHUEL</t>
  </si>
  <si>
    <t>QUEILEN</t>
  </si>
  <si>
    <t>AUCHAC</t>
  </si>
  <si>
    <t>SAN ANTONIO - OQUELDÁN</t>
  </si>
  <si>
    <t>RÍO LLOLLE</t>
  </si>
  <si>
    <t>QUILÉN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</si>
</sst>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 Light"/>
      <family val="2"/>
    </font>
    <font>
      <b/>
      <sz val="11"/>
      <color rgb="FF000000"/>
      <name val="Aptos Narrow"/>
      <family val="2"/>
      <scheme val="minor"/>
    </font>
    <font>
      <sz val="11"/>
      <color theme="1"/>
      <name val="Calibri Light"/>
      <family val="2"/>
    </font>
    <font>
      <b/>
      <sz val="11"/>
      <color theme="9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color theme="7"/>
      <name val="Aptos Narrow"/>
      <family val="2"/>
      <scheme val="minor"/>
    </font>
    <font>
      <sz val="12"/>
      <color rgb="FFFA7D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1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 wrapText="1"/>
    </xf>
    <xf numFmtId="3" fontId="6" fillId="0" borderId="9" xfId="0" applyNumberFormat="1" applyFont="1" applyBorder="1" applyAlignment="1">
      <alignment vertical="top"/>
    </xf>
    <xf numFmtId="3" fontId="6" fillId="0" borderId="10" xfId="0" applyNumberFormat="1" applyFont="1" applyBorder="1" applyAlignment="1">
      <alignment vertical="top"/>
    </xf>
    <xf numFmtId="0" fontId="6" fillId="0" borderId="10" xfId="0" applyFont="1" applyBorder="1" applyAlignment="1">
      <alignment vertical="top"/>
    </xf>
    <xf numFmtId="164" fontId="6" fillId="0" borderId="10" xfId="0" applyNumberFormat="1" applyFont="1" applyBorder="1" applyAlignment="1">
      <alignment vertical="top"/>
    </xf>
    <xf numFmtId="0" fontId="6" fillId="4" borderId="10" xfId="0" applyFont="1" applyFill="1" applyBorder="1" applyAlignment="1">
      <alignment vertical="top"/>
    </xf>
    <xf numFmtId="2" fontId="6" fillId="0" borderId="10" xfId="0" applyNumberFormat="1" applyFont="1" applyBorder="1" applyAlignment="1">
      <alignment vertical="top"/>
    </xf>
    <xf numFmtId="2" fontId="4" fillId="0" borderId="10" xfId="0" applyNumberFormat="1" applyFont="1" applyBorder="1" applyAlignment="1">
      <alignment vertical="top"/>
    </xf>
    <xf numFmtId="0" fontId="4" fillId="5" borderId="10" xfId="0" applyFont="1" applyFill="1" applyBorder="1" applyAlignment="1">
      <alignment vertical="top"/>
    </xf>
    <xf numFmtId="0" fontId="6" fillId="5" borderId="10" xfId="0" applyFont="1" applyFill="1" applyBorder="1" applyAlignment="1">
      <alignment vertical="top"/>
    </xf>
    <xf numFmtId="0" fontId="4" fillId="0" borderId="10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2" fontId="7" fillId="0" borderId="12" xfId="1" applyNumberFormat="1" applyFont="1" applyFill="1" applyBorder="1" applyAlignment="1">
      <alignment horizontal="center" vertical="top"/>
    </xf>
    <xf numFmtId="2" fontId="7" fillId="0" borderId="9" xfId="1" applyNumberFormat="1" applyFont="1" applyFill="1" applyBorder="1" applyAlignment="1">
      <alignment horizontal="center" vertical="top" wrapText="1"/>
    </xf>
    <xf numFmtId="2" fontId="8" fillId="0" borderId="10" xfId="1" applyNumberFormat="1" applyFont="1" applyFill="1" applyBorder="1" applyAlignment="1">
      <alignment horizontal="center" vertical="top"/>
    </xf>
    <xf numFmtId="2" fontId="1" fillId="0" borderId="10" xfId="1" applyNumberFormat="1" applyFill="1" applyBorder="1" applyAlignment="1">
      <alignment horizontal="center" vertical="top"/>
    </xf>
    <xf numFmtId="0" fontId="1" fillId="0" borderId="10" xfId="1" applyFill="1" applyBorder="1" applyAlignment="1">
      <alignment horizontal="center" vertical="top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vertical="top"/>
    </xf>
    <xf numFmtId="3" fontId="6" fillId="0" borderId="15" xfId="0" applyNumberFormat="1" applyFont="1" applyBorder="1" applyAlignment="1">
      <alignment vertical="top"/>
    </xf>
    <xf numFmtId="0" fontId="6" fillId="0" borderId="15" xfId="0" applyFont="1" applyBorder="1" applyAlignment="1">
      <alignment vertical="top"/>
    </xf>
    <xf numFmtId="164" fontId="6" fillId="0" borderId="15" xfId="0" applyNumberFormat="1" applyFont="1" applyBorder="1" applyAlignment="1">
      <alignment vertical="top"/>
    </xf>
    <xf numFmtId="0" fontId="6" fillId="4" borderId="15" xfId="0" applyFont="1" applyFill="1" applyBorder="1" applyAlignment="1">
      <alignment vertical="top"/>
    </xf>
    <xf numFmtId="2" fontId="4" fillId="0" borderId="15" xfId="0" applyNumberFormat="1" applyFont="1" applyBorder="1" applyAlignment="1">
      <alignment vertical="top"/>
    </xf>
    <xf numFmtId="0" fontId="4" fillId="4" borderId="15" xfId="0" applyFont="1" applyFill="1" applyBorder="1" applyAlignment="1">
      <alignment vertical="top"/>
    </xf>
    <xf numFmtId="2" fontId="6" fillId="0" borderId="15" xfId="0" applyNumberFormat="1" applyFont="1" applyBorder="1" applyAlignment="1">
      <alignment vertical="top"/>
    </xf>
    <xf numFmtId="0" fontId="6" fillId="5" borderId="15" xfId="0" applyFont="1" applyFill="1" applyBorder="1" applyAlignment="1">
      <alignment vertical="top"/>
    </xf>
    <xf numFmtId="0" fontId="6" fillId="0" borderId="16" xfId="0" applyFont="1" applyBorder="1" applyAlignment="1">
      <alignment vertical="top"/>
    </xf>
    <xf numFmtId="2" fontId="9" fillId="0" borderId="17" xfId="1" applyNumberFormat="1" applyFont="1" applyFill="1" applyBorder="1" applyAlignment="1">
      <alignment horizontal="center" vertical="top"/>
    </xf>
    <xf numFmtId="2" fontId="10" fillId="0" borderId="15" xfId="1" applyNumberFormat="1" applyFont="1" applyFill="1" applyBorder="1" applyAlignment="1">
      <alignment horizontal="center" vertical="top"/>
    </xf>
    <xf numFmtId="2" fontId="11" fillId="0" borderId="15" xfId="1" applyNumberFormat="1" applyFont="1" applyFill="1" applyBorder="1" applyAlignment="1">
      <alignment horizontal="center" vertical="top"/>
    </xf>
    <xf numFmtId="0" fontId="11" fillId="0" borderId="15" xfId="1" applyFont="1" applyFill="1" applyBorder="1" applyAlignment="1">
      <alignment horizontal="center" vertical="top"/>
    </xf>
    <xf numFmtId="0" fontId="2" fillId="0" borderId="10" xfId="1" applyFont="1" applyFill="1" applyBorder="1" applyAlignment="1">
      <alignment horizontal="center" vertical="top"/>
    </xf>
    <xf numFmtId="0" fontId="4" fillId="0" borderId="15" xfId="0" applyFont="1" applyBorder="1" applyAlignment="1">
      <alignment vertical="top"/>
    </xf>
    <xf numFmtId="0" fontId="4" fillId="5" borderId="15" xfId="0" applyFont="1" applyFill="1" applyBorder="1" applyAlignment="1">
      <alignment vertical="top"/>
    </xf>
    <xf numFmtId="2" fontId="7" fillId="0" borderId="17" xfId="1" applyNumberFormat="1" applyFont="1" applyFill="1" applyBorder="1" applyAlignment="1">
      <alignment horizontal="center" vertical="top"/>
    </xf>
    <xf numFmtId="2" fontId="8" fillId="0" borderId="15" xfId="1" applyNumberFormat="1" applyFont="1" applyFill="1" applyBorder="1" applyAlignment="1">
      <alignment horizontal="center" vertical="top"/>
    </xf>
    <xf numFmtId="2" fontId="1" fillId="0" borderId="15" xfId="1" applyNumberFormat="1" applyFill="1" applyBorder="1" applyAlignment="1">
      <alignment horizontal="center" vertical="top"/>
    </xf>
    <xf numFmtId="0" fontId="1" fillId="0" borderId="15" xfId="1" applyFill="1" applyBorder="1" applyAlignment="1">
      <alignment horizontal="center" vertical="top"/>
    </xf>
    <xf numFmtId="2" fontId="7" fillId="3" borderId="17" xfId="1" applyNumberFormat="1" applyFont="1" applyFill="1" applyBorder="1" applyAlignment="1">
      <alignment horizontal="center" vertical="top"/>
    </xf>
    <xf numFmtId="2" fontId="8" fillId="3" borderId="15" xfId="1" applyNumberFormat="1" applyFont="1" applyFill="1" applyBorder="1" applyAlignment="1">
      <alignment horizontal="center" vertical="top"/>
    </xf>
    <xf numFmtId="2" fontId="1" fillId="3" borderId="15" xfId="1" applyNumberFormat="1" applyFill="1" applyBorder="1" applyAlignment="1">
      <alignment horizontal="center" vertical="top"/>
    </xf>
    <xf numFmtId="0" fontId="1" fillId="3" borderId="15" xfId="1" applyFill="1" applyBorder="1" applyAlignment="1">
      <alignment horizontal="center" vertical="top"/>
    </xf>
    <xf numFmtId="0" fontId="6" fillId="0" borderId="13" xfId="0" applyFont="1" applyBorder="1" applyAlignment="1">
      <alignment vertical="top"/>
    </xf>
    <xf numFmtId="0" fontId="6" fillId="0" borderId="13" xfId="0" applyFont="1" applyBorder="1" applyAlignment="1">
      <alignment vertical="top" wrapText="1"/>
    </xf>
    <xf numFmtId="0" fontId="6" fillId="0" borderId="18" xfId="0" applyFont="1" applyBorder="1" applyAlignment="1">
      <alignment vertical="top"/>
    </xf>
    <xf numFmtId="3" fontId="6" fillId="0" borderId="19" xfId="0" applyNumberFormat="1" applyFont="1" applyBorder="1" applyAlignment="1">
      <alignment vertical="top"/>
    </xf>
    <xf numFmtId="3" fontId="6" fillId="0" borderId="20" xfId="0" applyNumberFormat="1" applyFont="1" applyBorder="1" applyAlignment="1">
      <alignment vertical="top"/>
    </xf>
    <xf numFmtId="0" fontId="6" fillId="0" borderId="20" xfId="0" applyFont="1" applyBorder="1" applyAlignment="1">
      <alignment vertical="top"/>
    </xf>
    <xf numFmtId="164" fontId="6" fillId="0" borderId="20" xfId="0" applyNumberFormat="1" applyFont="1" applyBorder="1" applyAlignment="1">
      <alignment vertical="top"/>
    </xf>
    <xf numFmtId="0" fontId="6" fillId="4" borderId="20" xfId="0" applyFont="1" applyFill="1" applyBorder="1" applyAlignment="1">
      <alignment vertical="top"/>
    </xf>
    <xf numFmtId="2" fontId="6" fillId="0" borderId="20" xfId="0" applyNumberFormat="1" applyFont="1" applyBorder="1" applyAlignment="1">
      <alignment vertical="top"/>
    </xf>
    <xf numFmtId="0" fontId="6" fillId="5" borderId="20" xfId="0" applyFont="1" applyFill="1" applyBorder="1" applyAlignment="1">
      <alignment vertical="top"/>
    </xf>
    <xf numFmtId="0" fontId="4" fillId="0" borderId="20" xfId="0" applyFont="1" applyBorder="1" applyAlignment="1">
      <alignment vertical="top"/>
    </xf>
    <xf numFmtId="0" fontId="4" fillId="5" borderId="20" xfId="0" applyFont="1" applyFill="1" applyBorder="1" applyAlignment="1">
      <alignment vertical="top"/>
    </xf>
    <xf numFmtId="0" fontId="6" fillId="0" borderId="21" xfId="0" applyFont="1" applyBorder="1" applyAlignment="1">
      <alignment vertical="top"/>
    </xf>
    <xf numFmtId="2" fontId="7" fillId="3" borderId="22" xfId="1" applyNumberFormat="1" applyFont="1" applyFill="1" applyBorder="1" applyAlignment="1">
      <alignment horizontal="center" vertical="top"/>
    </xf>
    <xf numFmtId="2" fontId="8" fillId="3" borderId="20" xfId="1" applyNumberFormat="1" applyFont="1" applyFill="1" applyBorder="1" applyAlignment="1">
      <alignment horizontal="center" vertical="top"/>
    </xf>
    <xf numFmtId="2" fontId="1" fillId="3" borderId="20" xfId="1" applyNumberFormat="1" applyFill="1" applyBorder="1" applyAlignment="1">
      <alignment horizontal="center" vertical="top"/>
    </xf>
    <xf numFmtId="0" fontId="1" fillId="3" borderId="20" xfId="1" applyFill="1" applyBorder="1" applyAlignment="1">
      <alignment horizontal="center" vertical="top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7C18-8CA2-4F19-BCCE-9C3057D5553E}">
  <dimension ref="A1:BS16"/>
  <sheetViews>
    <sheetView tabSelected="1" workbookViewId="0">
      <selection activeCell="A9" sqref="A9:XFD9"/>
    </sheetView>
  </sheetViews>
  <sheetFormatPr defaultColWidth="10.77734375" defaultRowHeight="14.4" x14ac:dyDescent="0.3"/>
  <cols>
    <col min="1" max="1" width="49.44140625" bestFit="1" customWidth="1"/>
    <col min="2" max="2" width="9.5546875" bestFit="1" customWidth="1"/>
    <col min="3" max="3" width="9.33203125" bestFit="1" customWidth="1"/>
    <col min="4" max="5" width="10.6640625" bestFit="1" customWidth="1"/>
    <col min="6" max="6" width="9.88671875" bestFit="1" customWidth="1"/>
    <col min="7" max="7" width="10.109375" bestFit="1" customWidth="1"/>
    <col min="8" max="8" width="10.6640625" bestFit="1" customWidth="1"/>
    <col min="10" max="10" width="10.109375" bestFit="1" customWidth="1"/>
    <col min="12" max="12" width="10.44140625" bestFit="1" customWidth="1"/>
    <col min="13" max="13" width="10.33203125" bestFit="1" customWidth="1"/>
    <col min="14" max="14" width="10.44140625" bestFit="1" customWidth="1"/>
    <col min="15" max="16" width="10.5546875" bestFit="1" customWidth="1"/>
    <col min="17" max="17" width="8.33203125" bestFit="1" customWidth="1"/>
    <col min="18" max="18" width="10.6640625" bestFit="1" customWidth="1"/>
    <col min="19" max="19" width="4.33203125" bestFit="1" customWidth="1"/>
    <col min="20" max="20" width="5.44140625" bestFit="1" customWidth="1"/>
    <col min="21" max="21" width="8.109375" bestFit="1" customWidth="1"/>
    <col min="22" max="22" width="4.33203125" bestFit="1" customWidth="1"/>
    <col min="23" max="23" width="5.44140625" bestFit="1" customWidth="1"/>
    <col min="24" max="24" width="8.6640625" bestFit="1" customWidth="1"/>
    <col min="26" max="26" width="2" bestFit="1" customWidth="1"/>
    <col min="28" max="28" width="4.33203125" bestFit="1" customWidth="1"/>
    <col min="29" max="29" width="5.44140625" bestFit="1" customWidth="1"/>
    <col min="30" max="30" width="8.6640625" bestFit="1" customWidth="1"/>
    <col min="31" max="31" width="9.6640625" bestFit="1" customWidth="1"/>
    <col min="32" max="32" width="10.5546875" bestFit="1" customWidth="1"/>
    <col min="33" max="33" width="10.6640625" bestFit="1" customWidth="1"/>
    <col min="34" max="34" width="9.6640625" bestFit="1" customWidth="1"/>
    <col min="35" max="35" width="9.44140625" bestFit="1" customWidth="1"/>
    <col min="36" max="36" width="4.88671875" bestFit="1" customWidth="1"/>
    <col min="37" max="37" width="5.44140625" bestFit="1" customWidth="1"/>
    <col min="39" max="39" width="10.109375" bestFit="1" customWidth="1"/>
    <col min="41" max="41" width="10.33203125" bestFit="1" customWidth="1"/>
    <col min="42" max="42" width="4.88671875" bestFit="1" customWidth="1"/>
    <col min="43" max="43" width="5" bestFit="1" customWidth="1"/>
    <col min="45" max="45" width="2" bestFit="1" customWidth="1"/>
    <col min="46" max="46" width="4" bestFit="1" customWidth="1"/>
    <col min="49" max="49" width="10.21875" bestFit="1" customWidth="1"/>
    <col min="50" max="50" width="10.109375" bestFit="1" customWidth="1"/>
    <col min="51" max="51" width="4.44140625" bestFit="1" customWidth="1"/>
    <col min="52" max="52" width="4" bestFit="1" customWidth="1"/>
    <col min="54" max="54" width="10.44140625" bestFit="1" customWidth="1"/>
    <col min="55" max="55" width="10.109375" bestFit="1" customWidth="1"/>
    <col min="56" max="56" width="10.5546875" bestFit="1" customWidth="1"/>
    <col min="58" max="58" width="10.44140625" bestFit="1" customWidth="1"/>
    <col min="59" max="59" width="4.33203125" bestFit="1" customWidth="1"/>
    <col min="60" max="60" width="5.44140625" bestFit="1" customWidth="1"/>
    <col min="62" max="62" width="2" bestFit="1" customWidth="1"/>
    <col min="63" max="63" width="4" bestFit="1" customWidth="1"/>
    <col min="65" max="65" width="10.109375" bestFit="1" customWidth="1"/>
    <col min="66" max="66" width="11.88671875" bestFit="1" customWidth="1"/>
    <col min="67" max="67" width="12.77734375" bestFit="1" customWidth="1"/>
    <col min="68" max="68" width="11.88671875" bestFit="1" customWidth="1"/>
    <col min="69" max="69" width="9.6640625" bestFit="1" customWidth="1"/>
    <col min="70" max="70" width="10.21875" bestFit="1" customWidth="1"/>
    <col min="71" max="71" width="23.109375" bestFit="1" customWidth="1"/>
  </cols>
  <sheetData>
    <row r="1" spans="1:71" ht="115.8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/>
      <c r="U1" s="4"/>
      <c r="V1" s="4" t="s">
        <v>19</v>
      </c>
      <c r="W1" s="4"/>
      <c r="X1" s="4"/>
      <c r="Y1" s="4" t="s">
        <v>20</v>
      </c>
      <c r="Z1" s="4"/>
      <c r="AA1" s="4"/>
      <c r="AB1" s="4" t="s">
        <v>21</v>
      </c>
      <c r="AC1" s="4"/>
      <c r="AD1" s="4"/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4" t="s">
        <v>27</v>
      </c>
      <c r="AK1" s="4"/>
      <c r="AL1" s="4"/>
      <c r="AM1" s="3" t="s">
        <v>28</v>
      </c>
      <c r="AN1" s="3" t="s">
        <v>29</v>
      </c>
      <c r="AO1" s="3" t="s">
        <v>30</v>
      </c>
      <c r="AP1" s="4" t="s">
        <v>31</v>
      </c>
      <c r="AQ1" s="4"/>
      <c r="AR1" s="4"/>
      <c r="AS1" s="4" t="s">
        <v>32</v>
      </c>
      <c r="AT1" s="4"/>
      <c r="AU1" s="4"/>
      <c r="AV1" s="3" t="s">
        <v>33</v>
      </c>
      <c r="AW1" s="3" t="s">
        <v>34</v>
      </c>
      <c r="AX1" s="3" t="s">
        <v>35</v>
      </c>
      <c r="AY1" s="4" t="s">
        <v>36</v>
      </c>
      <c r="AZ1" s="4"/>
      <c r="BA1" s="4"/>
      <c r="BB1" s="3" t="s">
        <v>37</v>
      </c>
      <c r="BC1" s="3" t="s">
        <v>38</v>
      </c>
      <c r="BD1" s="3" t="s">
        <v>39</v>
      </c>
      <c r="BE1" s="3" t="s">
        <v>40</v>
      </c>
      <c r="BF1" s="3" t="s">
        <v>41</v>
      </c>
      <c r="BG1" s="4" t="s">
        <v>42</v>
      </c>
      <c r="BH1" s="4"/>
      <c r="BI1" s="4"/>
      <c r="BJ1" s="4" t="s">
        <v>43</v>
      </c>
      <c r="BK1" s="4"/>
      <c r="BL1" s="5"/>
      <c r="BM1" s="6" t="s">
        <v>44</v>
      </c>
      <c r="BN1" s="7" t="s">
        <v>45</v>
      </c>
      <c r="BO1" s="8" t="s">
        <v>46</v>
      </c>
      <c r="BP1" s="8" t="s">
        <v>45</v>
      </c>
      <c r="BQ1" s="9" t="s">
        <v>47</v>
      </c>
      <c r="BR1" s="9" t="s">
        <v>48</v>
      </c>
      <c r="BS1" s="10" t="s">
        <v>49</v>
      </c>
    </row>
    <row r="2" spans="1:71" x14ac:dyDescent="0.3">
      <c r="A2" s="11" t="s">
        <v>50</v>
      </c>
      <c r="B2" s="12">
        <v>38991</v>
      </c>
      <c r="C2" s="13">
        <v>16959</v>
      </c>
      <c r="D2" s="14">
        <f>+ROUNDUP((B2/C2),0)</f>
        <v>3</v>
      </c>
      <c r="E2" s="14" t="s">
        <v>51</v>
      </c>
      <c r="F2" s="13">
        <v>210</v>
      </c>
      <c r="G2" s="14">
        <v>10</v>
      </c>
      <c r="H2" s="13">
        <f t="shared" ref="H2:H16" si="0">+D2*F2</f>
        <v>630</v>
      </c>
      <c r="I2" s="13">
        <f>30+40</f>
        <v>70</v>
      </c>
      <c r="J2" s="13">
        <f>+I2*1000</f>
        <v>70000</v>
      </c>
      <c r="K2" s="15">
        <f>+J2/H2</f>
        <v>111.11111111111111</v>
      </c>
      <c r="L2" s="15">
        <v>0.5</v>
      </c>
      <c r="M2" s="13">
        <v>100</v>
      </c>
      <c r="N2" s="13">
        <v>1</v>
      </c>
      <c r="O2" s="15">
        <f t="shared" ref="O2:O16" si="1">+H2*M2/1000</f>
        <v>63</v>
      </c>
      <c r="P2" s="15">
        <f t="shared" ref="P2:P16" si="2">+L2*O2</f>
        <v>31.5</v>
      </c>
      <c r="Q2" s="15">
        <f t="shared" ref="Q2:Q16" si="3">+P2+(I2/N2)</f>
        <v>101.5</v>
      </c>
      <c r="R2" s="15">
        <f>+Q2/O2</f>
        <v>1.6111111111111112</v>
      </c>
      <c r="S2" s="14">
        <v>0.2</v>
      </c>
      <c r="T2" s="16">
        <f>+S2*0.1</f>
        <v>2.0000000000000004E-2</v>
      </c>
      <c r="U2" s="14" t="s">
        <v>52</v>
      </c>
      <c r="V2" s="14">
        <v>0.2</v>
      </c>
      <c r="W2" s="16">
        <f>+V2*0.1</f>
        <v>2.0000000000000004E-2</v>
      </c>
      <c r="X2" s="14" t="s">
        <v>52</v>
      </c>
      <c r="Y2" s="14"/>
      <c r="Z2" s="16">
        <f>+Y2*0.1</f>
        <v>0</v>
      </c>
      <c r="AA2" s="14"/>
      <c r="AB2" s="14">
        <v>0.6</v>
      </c>
      <c r="AC2" s="16">
        <f>+AB2*0.1</f>
        <v>0.06</v>
      </c>
      <c r="AD2" s="14" t="s">
        <v>53</v>
      </c>
      <c r="AE2" s="14">
        <v>0.5</v>
      </c>
      <c r="AF2" s="14">
        <v>0</v>
      </c>
      <c r="AG2" s="14">
        <v>0</v>
      </c>
      <c r="AH2" s="14">
        <v>0</v>
      </c>
      <c r="AI2" s="14">
        <v>0.5</v>
      </c>
      <c r="AJ2" s="17">
        <f t="shared" ref="AJ2:AJ16" si="4">+SUM(AE2:AI2)</f>
        <v>1</v>
      </c>
      <c r="AK2" s="16">
        <f>+AJ2*0.1</f>
        <v>0.1</v>
      </c>
      <c r="AL2" s="14"/>
      <c r="AM2" s="14">
        <v>0.5</v>
      </c>
      <c r="AN2" s="14">
        <v>0</v>
      </c>
      <c r="AO2" s="14">
        <v>0.5</v>
      </c>
      <c r="AP2" s="18">
        <f t="shared" ref="AP2:AP16" si="5">+SUM(AM2:AO2)</f>
        <v>1</v>
      </c>
      <c r="AQ2" s="19">
        <f>+AP2*0.1</f>
        <v>0.1</v>
      </c>
      <c r="AR2" s="14"/>
      <c r="AS2" s="14">
        <v>0</v>
      </c>
      <c r="AT2" s="20">
        <f>+AS2*0.1</f>
        <v>0</v>
      </c>
      <c r="AU2" s="14"/>
      <c r="AV2" s="14">
        <v>1</v>
      </c>
      <c r="AW2" s="14">
        <v>1</v>
      </c>
      <c r="AX2" s="14">
        <v>0</v>
      </c>
      <c r="AY2" s="17">
        <f>+SUM(AV2:AX2)</f>
        <v>2</v>
      </c>
      <c r="AZ2" s="16">
        <f>+AY2*0.1</f>
        <v>0.2</v>
      </c>
      <c r="BA2" s="14"/>
      <c r="BB2" s="14">
        <v>0.5</v>
      </c>
      <c r="BC2" s="14">
        <v>1</v>
      </c>
      <c r="BD2" s="14">
        <v>1</v>
      </c>
      <c r="BE2" s="14">
        <v>0</v>
      </c>
      <c r="BF2" s="14">
        <v>0</v>
      </c>
      <c r="BG2" s="21">
        <f>+SUM(BB2:BF2)</f>
        <v>2.5</v>
      </c>
      <c r="BH2" s="19">
        <f>+BG2*0.1</f>
        <v>0.25</v>
      </c>
      <c r="BI2" s="14"/>
      <c r="BJ2" s="14">
        <v>0</v>
      </c>
      <c r="BK2" s="20">
        <f>+BJ2*0.1</f>
        <v>0</v>
      </c>
      <c r="BL2" s="22"/>
      <c r="BM2" s="23">
        <f>+T2+W2+Z2+AC2+AK2+AZ2</f>
        <v>0.4</v>
      </c>
      <c r="BN2" s="24" t="str">
        <f>IF(ROUND(BM2,2)&gt;1,"Muy alta",IF(ROUND(BM2,2)&gt;=0.67,"Alta",IF(ROUND(BM2,2)&gt;=0.34,"Media","Baja")))</f>
        <v>Media</v>
      </c>
      <c r="BO2" s="25">
        <f>+AQ2+AT2+BH2+BK2</f>
        <v>0.35</v>
      </c>
      <c r="BP2" s="25" t="str">
        <f>IF(ROUND(BO2,2)&gt;1,"Muy alta",IF(ROUND(BO2,2)&gt;=0.67,"Alta",IF(ROUND(BO2,2)&gt;=0.34,"Media","Baja")))</f>
        <v>Media</v>
      </c>
      <c r="BQ2" s="26">
        <f>+BM2+BO2</f>
        <v>0.75</v>
      </c>
      <c r="BR2" s="27" t="s">
        <v>54</v>
      </c>
      <c r="BS2" s="27" t="str">
        <f>IF(ROUND(BQ2,2)&gt;1,"Muy alta",IF(ROUND(BQ2,2)&gt;=0.67,"Alta",IF(ROUND(BQ2,2)&gt;=0.34,"Media","Baja")))</f>
        <v>Alta</v>
      </c>
    </row>
    <row r="3" spans="1:71" ht="15.6" x14ac:dyDescent="0.3">
      <c r="A3" s="28" t="s">
        <v>55</v>
      </c>
      <c r="B3" s="29">
        <v>38991</v>
      </c>
      <c r="C3" s="30">
        <v>16959</v>
      </c>
      <c r="D3" s="31">
        <f t="shared" ref="D3:D16" si="6">+ROUNDUP((B3/C3),0)</f>
        <v>3</v>
      </c>
      <c r="E3" s="31" t="s">
        <v>51</v>
      </c>
      <c r="F3" s="30">
        <v>106</v>
      </c>
      <c r="G3" s="31">
        <v>23</v>
      </c>
      <c r="H3" s="30">
        <f t="shared" si="0"/>
        <v>318</v>
      </c>
      <c r="I3" s="30">
        <v>30</v>
      </c>
      <c r="J3" s="30">
        <f t="shared" ref="J3:J16" si="7">+I3*1000</f>
        <v>30000</v>
      </c>
      <c r="K3" s="32">
        <f t="shared" ref="K3:K16" si="8">+J3/H3</f>
        <v>94.339622641509436</v>
      </c>
      <c r="L3" s="32">
        <v>0.5</v>
      </c>
      <c r="M3" s="30">
        <v>100</v>
      </c>
      <c r="N3" s="30">
        <v>1</v>
      </c>
      <c r="O3" s="32">
        <f t="shared" si="1"/>
        <v>31.8</v>
      </c>
      <c r="P3" s="32">
        <f t="shared" si="2"/>
        <v>15.9</v>
      </c>
      <c r="Q3" s="32">
        <f t="shared" si="3"/>
        <v>45.9</v>
      </c>
      <c r="R3" s="32">
        <f t="shared" ref="R3:R16" si="9">+Q3/O3</f>
        <v>1.4433962264150944</v>
      </c>
      <c r="S3" s="31">
        <v>0.2</v>
      </c>
      <c r="T3" s="33">
        <f t="shared" ref="T3:T16" si="10">+S3*0.1</f>
        <v>2.0000000000000004E-2</v>
      </c>
      <c r="U3" s="31" t="s">
        <v>52</v>
      </c>
      <c r="V3" s="31">
        <v>0.2</v>
      </c>
      <c r="W3" s="33">
        <f t="shared" ref="W3:W16" si="11">+V3*0.1</f>
        <v>2.0000000000000004E-2</v>
      </c>
      <c r="X3" s="31" t="s">
        <v>52</v>
      </c>
      <c r="Y3" s="31"/>
      <c r="Z3" s="33">
        <f t="shared" ref="Z3:Z16" si="12">+Y3*0.1</f>
        <v>0</v>
      </c>
      <c r="AA3" s="31"/>
      <c r="AB3" s="31">
        <v>0.6</v>
      </c>
      <c r="AC3" s="33">
        <f t="shared" ref="AC3:AC16" si="13">+AB3*0.1</f>
        <v>0.06</v>
      </c>
      <c r="AD3" s="31" t="s">
        <v>53</v>
      </c>
      <c r="AE3" s="31">
        <v>0</v>
      </c>
      <c r="AF3" s="31">
        <v>0</v>
      </c>
      <c r="AG3" s="31">
        <v>1</v>
      </c>
      <c r="AH3" s="31">
        <v>0</v>
      </c>
      <c r="AI3" s="31">
        <v>0.5</v>
      </c>
      <c r="AJ3" s="34">
        <f t="shared" si="4"/>
        <v>1.5</v>
      </c>
      <c r="AK3" s="35">
        <f t="shared" ref="AK3:AK16" si="14">+AJ3*0.1</f>
        <v>0.15000000000000002</v>
      </c>
      <c r="AL3" s="31"/>
      <c r="AM3" s="31">
        <v>0</v>
      </c>
      <c r="AN3" s="31">
        <v>0</v>
      </c>
      <c r="AO3" s="31">
        <v>0.5</v>
      </c>
      <c r="AP3" s="36">
        <f t="shared" si="5"/>
        <v>0.5</v>
      </c>
      <c r="AQ3" s="37">
        <f t="shared" ref="AQ3:AQ16" si="15">+AP3*0.1</f>
        <v>0.05</v>
      </c>
      <c r="AR3" s="31"/>
      <c r="AS3" s="31">
        <v>0</v>
      </c>
      <c r="AT3" s="37">
        <f t="shared" ref="AT3:AT16" si="16">+AS3*0.1</f>
        <v>0</v>
      </c>
      <c r="AU3" s="31"/>
      <c r="AV3" s="31">
        <v>0</v>
      </c>
      <c r="AW3" s="31">
        <v>0</v>
      </c>
      <c r="AX3" s="31">
        <v>1</v>
      </c>
      <c r="AY3" s="36">
        <f t="shared" ref="AY3:AY16" si="17">+SUM(AV3:AX3)</f>
        <v>1</v>
      </c>
      <c r="AZ3" s="33">
        <f t="shared" ref="AZ3:AZ16" si="18">+AY3*0.1</f>
        <v>0.1</v>
      </c>
      <c r="BA3" s="31"/>
      <c r="BB3" s="31">
        <v>0.5</v>
      </c>
      <c r="BC3" s="31">
        <v>0</v>
      </c>
      <c r="BD3" s="31">
        <v>0</v>
      </c>
      <c r="BE3" s="31">
        <v>1</v>
      </c>
      <c r="BF3" s="31">
        <v>0</v>
      </c>
      <c r="BG3" s="31">
        <f t="shared" ref="BG3:BG16" si="19">+SUM(BB3:BF3)</f>
        <v>1.5</v>
      </c>
      <c r="BH3" s="37">
        <f t="shared" ref="BH3:BH16" si="20">+BG3*0.1</f>
        <v>0.15000000000000002</v>
      </c>
      <c r="BI3" s="31"/>
      <c r="BJ3" s="31">
        <v>0</v>
      </c>
      <c r="BK3" s="37">
        <f t="shared" ref="BK3:BK16" si="21">+BJ3*0.1</f>
        <v>0</v>
      </c>
      <c r="BL3" s="38"/>
      <c r="BM3" s="39">
        <f t="shared" ref="BM3:BM16" si="22">+T3+W3+Z3+AC3+AK3+AZ3</f>
        <v>0.35</v>
      </c>
      <c r="BN3" s="24" t="str">
        <f t="shared" ref="BN3:BN16" si="23">IF(ROUND(BM3,2)&gt;1,"Muy alta",IF(ROUND(BM3,2)&gt;=0.67,"Alta",IF(ROUND(BM3,2)&gt;=0.34,"Media","Baja")))</f>
        <v>Media</v>
      </c>
      <c r="BO3" s="40">
        <f t="shared" ref="BO3:BO16" si="24">+AQ3+AT3+BH3+BK3</f>
        <v>0.2</v>
      </c>
      <c r="BP3" s="25" t="str">
        <f t="shared" ref="BP3:BP16" si="25">IF(ROUND(BO3,2)&gt;1,"Muy alta",IF(ROUND(BO3,2)&gt;=0.67,"Alta",IF(ROUND(BO3,2)&gt;=0.34,"Media","Baja")))</f>
        <v>Baja</v>
      </c>
      <c r="BQ3" s="41">
        <f t="shared" ref="BQ3:BQ16" si="26">+BM3+BO3</f>
        <v>0.55000000000000004</v>
      </c>
      <c r="BR3" s="42" t="s">
        <v>53</v>
      </c>
      <c r="BS3" s="43" t="str">
        <f t="shared" ref="BS3:BS16" si="27">IF(ROUND(BQ3,2)&gt;1,"Muy alta",IF(ROUND(BQ3,2)&gt;=0.67,"Alta",IF(ROUND(BQ3,2)&gt;=0.34,"Media","Baja")))</f>
        <v>Media</v>
      </c>
    </row>
    <row r="4" spans="1:71" x14ac:dyDescent="0.3">
      <c r="A4" s="28" t="s">
        <v>56</v>
      </c>
      <c r="B4" s="29">
        <v>38991</v>
      </c>
      <c r="C4" s="30">
        <v>16959</v>
      </c>
      <c r="D4" s="31">
        <f t="shared" si="6"/>
        <v>3</v>
      </c>
      <c r="E4" s="31" t="s">
        <v>57</v>
      </c>
      <c r="F4" s="30">
        <v>138</v>
      </c>
      <c r="G4" s="31">
        <v>0</v>
      </c>
      <c r="H4" s="30">
        <f t="shared" si="0"/>
        <v>414</v>
      </c>
      <c r="I4" s="30">
        <v>40</v>
      </c>
      <c r="J4" s="30">
        <f t="shared" si="7"/>
        <v>40000</v>
      </c>
      <c r="K4" s="32">
        <f t="shared" si="8"/>
        <v>96.618357487922708</v>
      </c>
      <c r="L4" s="32">
        <v>0.5</v>
      </c>
      <c r="M4" s="30">
        <v>100</v>
      </c>
      <c r="N4" s="30">
        <v>1</v>
      </c>
      <c r="O4" s="32">
        <f t="shared" si="1"/>
        <v>41.4</v>
      </c>
      <c r="P4" s="32">
        <f t="shared" si="2"/>
        <v>20.7</v>
      </c>
      <c r="Q4" s="32">
        <f t="shared" si="3"/>
        <v>60.7</v>
      </c>
      <c r="R4" s="32">
        <f t="shared" si="9"/>
        <v>1.4661835748792271</v>
      </c>
      <c r="S4" s="31">
        <v>0.2</v>
      </c>
      <c r="T4" s="33">
        <f t="shared" si="10"/>
        <v>2.0000000000000004E-2</v>
      </c>
      <c r="U4" s="31" t="s">
        <v>52</v>
      </c>
      <c r="V4" s="31">
        <v>0.2</v>
      </c>
      <c r="W4" s="33">
        <f t="shared" si="11"/>
        <v>2.0000000000000004E-2</v>
      </c>
      <c r="X4" s="31" t="s">
        <v>52</v>
      </c>
      <c r="Y4" s="31"/>
      <c r="Z4" s="33">
        <f t="shared" si="12"/>
        <v>0</v>
      </c>
      <c r="AA4" s="31"/>
      <c r="AB4" s="31">
        <v>0.6</v>
      </c>
      <c r="AC4" s="33">
        <f t="shared" si="13"/>
        <v>0.06</v>
      </c>
      <c r="AD4" s="31" t="s">
        <v>53</v>
      </c>
      <c r="AE4" s="31">
        <v>0</v>
      </c>
      <c r="AF4" s="31">
        <v>0</v>
      </c>
      <c r="AG4" s="31">
        <v>1</v>
      </c>
      <c r="AH4" s="31">
        <v>0</v>
      </c>
      <c r="AI4" s="31">
        <v>0</v>
      </c>
      <c r="AJ4" s="36">
        <f t="shared" si="4"/>
        <v>1</v>
      </c>
      <c r="AK4" s="33">
        <f t="shared" si="14"/>
        <v>0.1</v>
      </c>
      <c r="AL4" s="31"/>
      <c r="AM4" s="31">
        <v>0</v>
      </c>
      <c r="AN4" s="31">
        <v>0</v>
      </c>
      <c r="AO4" s="31">
        <v>0.5</v>
      </c>
      <c r="AP4" s="36">
        <f t="shared" si="5"/>
        <v>0.5</v>
      </c>
      <c r="AQ4" s="37">
        <f t="shared" si="15"/>
        <v>0.05</v>
      </c>
      <c r="AR4" s="31"/>
      <c r="AS4" s="31">
        <v>1</v>
      </c>
      <c r="AT4" s="37">
        <f t="shared" si="16"/>
        <v>0.1</v>
      </c>
      <c r="AU4" s="31"/>
      <c r="AV4" s="31">
        <v>1</v>
      </c>
      <c r="AW4" s="31">
        <v>0</v>
      </c>
      <c r="AX4" s="31">
        <v>1</v>
      </c>
      <c r="AY4" s="36">
        <f t="shared" si="17"/>
        <v>2</v>
      </c>
      <c r="AZ4" s="33">
        <f t="shared" si="18"/>
        <v>0.2</v>
      </c>
      <c r="BA4" s="31"/>
      <c r="BB4" s="31">
        <v>0.5</v>
      </c>
      <c r="BC4" s="31">
        <v>1</v>
      </c>
      <c r="BD4" s="31">
        <v>1</v>
      </c>
      <c r="BE4" s="31">
        <v>1</v>
      </c>
      <c r="BF4" s="31">
        <v>1</v>
      </c>
      <c r="BG4" s="44">
        <f t="shared" si="19"/>
        <v>4.5</v>
      </c>
      <c r="BH4" s="45">
        <f t="shared" si="20"/>
        <v>0.45</v>
      </c>
      <c r="BI4" s="31"/>
      <c r="BJ4" s="31">
        <v>0</v>
      </c>
      <c r="BK4" s="37">
        <f t="shared" si="21"/>
        <v>0</v>
      </c>
      <c r="BL4" s="38"/>
      <c r="BM4" s="46">
        <f t="shared" si="22"/>
        <v>0.4</v>
      </c>
      <c r="BN4" s="24" t="str">
        <f t="shared" si="23"/>
        <v>Media</v>
      </c>
      <c r="BO4" s="47">
        <f t="shared" si="24"/>
        <v>0.60000000000000009</v>
      </c>
      <c r="BP4" s="25" t="str">
        <f t="shared" si="25"/>
        <v>Media</v>
      </c>
      <c r="BQ4" s="48">
        <f t="shared" si="26"/>
        <v>1</v>
      </c>
      <c r="BR4" s="49" t="s">
        <v>54</v>
      </c>
      <c r="BS4" s="27" t="str">
        <f t="shared" si="27"/>
        <v>Alta</v>
      </c>
    </row>
    <row r="5" spans="1:71" ht="15.6" x14ac:dyDescent="0.3">
      <c r="A5" s="28" t="s">
        <v>58</v>
      </c>
      <c r="B5" s="29">
        <v>38991</v>
      </c>
      <c r="C5" s="30">
        <v>16959</v>
      </c>
      <c r="D5" s="31">
        <f t="shared" si="6"/>
        <v>3</v>
      </c>
      <c r="E5" s="31" t="s">
        <v>51</v>
      </c>
      <c r="F5" s="30">
        <v>97</v>
      </c>
      <c r="G5" s="31">
        <v>0</v>
      </c>
      <c r="H5" s="30">
        <f t="shared" si="0"/>
        <v>291</v>
      </c>
      <c r="I5" s="30">
        <v>20</v>
      </c>
      <c r="J5" s="30">
        <f t="shared" si="7"/>
        <v>20000</v>
      </c>
      <c r="K5" s="32">
        <f t="shared" si="8"/>
        <v>68.728522336769757</v>
      </c>
      <c r="L5" s="32">
        <v>0.5</v>
      </c>
      <c r="M5" s="30">
        <v>100</v>
      </c>
      <c r="N5" s="30">
        <v>1</v>
      </c>
      <c r="O5" s="32">
        <f t="shared" si="1"/>
        <v>29.1</v>
      </c>
      <c r="P5" s="32">
        <f t="shared" si="2"/>
        <v>14.55</v>
      </c>
      <c r="Q5" s="32">
        <f t="shared" si="3"/>
        <v>34.549999999999997</v>
      </c>
      <c r="R5" s="32">
        <f t="shared" si="9"/>
        <v>1.1872852233676974</v>
      </c>
      <c r="S5" s="31">
        <v>0.2</v>
      </c>
      <c r="T5" s="33">
        <f t="shared" si="10"/>
        <v>2.0000000000000004E-2</v>
      </c>
      <c r="U5" s="31" t="s">
        <v>52</v>
      </c>
      <c r="V5" s="31">
        <v>0.4</v>
      </c>
      <c r="W5" s="33">
        <f t="shared" si="11"/>
        <v>4.0000000000000008E-2</v>
      </c>
      <c r="X5" s="31" t="s">
        <v>59</v>
      </c>
      <c r="Y5" s="31"/>
      <c r="Z5" s="33">
        <f t="shared" si="12"/>
        <v>0</v>
      </c>
      <c r="AA5" s="31"/>
      <c r="AB5" s="44">
        <v>0.8</v>
      </c>
      <c r="AC5" s="35">
        <f t="shared" si="13"/>
        <v>8.0000000000000016E-2</v>
      </c>
      <c r="AD5" s="44" t="s">
        <v>54</v>
      </c>
      <c r="AE5" s="31">
        <v>0</v>
      </c>
      <c r="AF5" s="31">
        <v>0</v>
      </c>
      <c r="AG5" s="31">
        <v>1</v>
      </c>
      <c r="AH5" s="31">
        <v>0.5</v>
      </c>
      <c r="AI5" s="31">
        <v>0.5</v>
      </c>
      <c r="AJ5" s="34">
        <f t="shared" si="4"/>
        <v>2</v>
      </c>
      <c r="AK5" s="35">
        <f t="shared" si="14"/>
        <v>0.2</v>
      </c>
      <c r="AL5" s="31"/>
      <c r="AM5" s="31">
        <v>0</v>
      </c>
      <c r="AN5" s="31">
        <v>0</v>
      </c>
      <c r="AO5" s="31">
        <v>0</v>
      </c>
      <c r="AP5" s="36">
        <f t="shared" si="5"/>
        <v>0</v>
      </c>
      <c r="AQ5" s="37">
        <f t="shared" si="15"/>
        <v>0</v>
      </c>
      <c r="AR5" s="31"/>
      <c r="AS5" s="31">
        <v>0</v>
      </c>
      <c r="AT5" s="37">
        <f t="shared" si="16"/>
        <v>0</v>
      </c>
      <c r="AU5" s="31"/>
      <c r="AV5" s="31">
        <v>0</v>
      </c>
      <c r="AW5" s="31">
        <v>0</v>
      </c>
      <c r="AX5" s="31">
        <v>1</v>
      </c>
      <c r="AY5" s="36">
        <f t="shared" si="17"/>
        <v>1</v>
      </c>
      <c r="AZ5" s="33">
        <f t="shared" si="18"/>
        <v>0.1</v>
      </c>
      <c r="BA5" s="31"/>
      <c r="BB5" s="31">
        <v>0</v>
      </c>
      <c r="BC5" s="31">
        <v>0</v>
      </c>
      <c r="BD5" s="31">
        <v>0</v>
      </c>
      <c r="BE5" s="31">
        <v>1</v>
      </c>
      <c r="BF5" s="31">
        <v>0</v>
      </c>
      <c r="BG5" s="31">
        <f t="shared" si="19"/>
        <v>1</v>
      </c>
      <c r="BH5" s="37">
        <f t="shared" si="20"/>
        <v>0.1</v>
      </c>
      <c r="BI5" s="31"/>
      <c r="BJ5" s="31">
        <v>0</v>
      </c>
      <c r="BK5" s="37">
        <f t="shared" si="21"/>
        <v>0</v>
      </c>
      <c r="BL5" s="38"/>
      <c r="BM5" s="39">
        <f t="shared" si="22"/>
        <v>0.44000000000000006</v>
      </c>
      <c r="BN5" s="24" t="str">
        <f t="shared" si="23"/>
        <v>Media</v>
      </c>
      <c r="BO5" s="40">
        <f t="shared" si="24"/>
        <v>0.1</v>
      </c>
      <c r="BP5" s="25" t="str">
        <f t="shared" si="25"/>
        <v>Baja</v>
      </c>
      <c r="BQ5" s="41">
        <f t="shared" si="26"/>
        <v>0.54</v>
      </c>
      <c r="BR5" s="42" t="s">
        <v>53</v>
      </c>
      <c r="BS5" s="43" t="str">
        <f t="shared" si="27"/>
        <v>Media</v>
      </c>
    </row>
    <row r="6" spans="1:71" x14ac:dyDescent="0.3">
      <c r="A6" s="28" t="s">
        <v>60</v>
      </c>
      <c r="B6" s="29">
        <v>38991</v>
      </c>
      <c r="C6" s="30">
        <v>16959</v>
      </c>
      <c r="D6" s="31">
        <f t="shared" si="6"/>
        <v>3</v>
      </c>
      <c r="E6" s="31" t="s">
        <v>61</v>
      </c>
      <c r="F6" s="30">
        <v>68</v>
      </c>
      <c r="G6" s="31">
        <v>0</v>
      </c>
      <c r="H6" s="30">
        <f t="shared" si="0"/>
        <v>204</v>
      </c>
      <c r="I6" s="30">
        <v>10</v>
      </c>
      <c r="J6" s="30">
        <f t="shared" si="7"/>
        <v>10000</v>
      </c>
      <c r="K6" s="32">
        <f t="shared" si="8"/>
        <v>49.019607843137258</v>
      </c>
      <c r="L6" s="32">
        <v>0</v>
      </c>
      <c r="M6" s="30">
        <v>100</v>
      </c>
      <c r="N6" s="30">
        <v>1</v>
      </c>
      <c r="O6" s="32">
        <f t="shared" si="1"/>
        <v>20.399999999999999</v>
      </c>
      <c r="P6" s="32">
        <f t="shared" si="2"/>
        <v>0</v>
      </c>
      <c r="Q6" s="32">
        <f t="shared" si="3"/>
        <v>10</v>
      </c>
      <c r="R6" s="32">
        <f t="shared" si="9"/>
        <v>0.49019607843137258</v>
      </c>
      <c r="S6" s="31">
        <v>0.2</v>
      </c>
      <c r="T6" s="33">
        <f t="shared" si="10"/>
        <v>2.0000000000000004E-2</v>
      </c>
      <c r="U6" s="31" t="s">
        <v>52</v>
      </c>
      <c r="V6" s="44">
        <v>1</v>
      </c>
      <c r="W6" s="35">
        <f t="shared" si="11"/>
        <v>0.1</v>
      </c>
      <c r="X6" s="44" t="s">
        <v>62</v>
      </c>
      <c r="Y6" s="31"/>
      <c r="Z6" s="33">
        <f t="shared" si="12"/>
        <v>0</v>
      </c>
      <c r="AA6" s="31"/>
      <c r="AB6" s="44">
        <v>1</v>
      </c>
      <c r="AC6" s="35">
        <f t="shared" si="13"/>
        <v>0.1</v>
      </c>
      <c r="AD6" s="44" t="s">
        <v>62</v>
      </c>
      <c r="AE6" s="31">
        <v>0.5</v>
      </c>
      <c r="AF6" s="31">
        <v>0</v>
      </c>
      <c r="AG6" s="31">
        <v>1</v>
      </c>
      <c r="AH6" s="31">
        <v>0.5</v>
      </c>
      <c r="AI6" s="31">
        <v>0.5</v>
      </c>
      <c r="AJ6" s="34">
        <f t="shared" si="4"/>
        <v>2.5</v>
      </c>
      <c r="AK6" s="35">
        <f t="shared" si="14"/>
        <v>0.25</v>
      </c>
      <c r="AL6" s="31"/>
      <c r="AM6" s="31">
        <v>0</v>
      </c>
      <c r="AN6" s="31">
        <v>0</v>
      </c>
      <c r="AO6" s="31">
        <v>0</v>
      </c>
      <c r="AP6" s="36">
        <f t="shared" si="5"/>
        <v>0</v>
      </c>
      <c r="AQ6" s="37">
        <f t="shared" si="15"/>
        <v>0</v>
      </c>
      <c r="AR6" s="31"/>
      <c r="AS6" s="31">
        <v>1</v>
      </c>
      <c r="AT6" s="37">
        <f t="shared" si="16"/>
        <v>0.1</v>
      </c>
      <c r="AU6" s="31"/>
      <c r="AV6" s="31">
        <v>1</v>
      </c>
      <c r="AW6" s="31">
        <v>0</v>
      </c>
      <c r="AX6" s="31">
        <v>0</v>
      </c>
      <c r="AY6" s="36">
        <f t="shared" si="17"/>
        <v>1</v>
      </c>
      <c r="AZ6" s="33">
        <f t="shared" si="18"/>
        <v>0.1</v>
      </c>
      <c r="BA6" s="31"/>
      <c r="BB6" s="31">
        <v>0.5</v>
      </c>
      <c r="BC6" s="31">
        <v>0</v>
      </c>
      <c r="BD6" s="31">
        <v>1</v>
      </c>
      <c r="BE6" s="31">
        <v>1</v>
      </c>
      <c r="BF6" s="31">
        <v>0</v>
      </c>
      <c r="BG6" s="44">
        <f t="shared" si="19"/>
        <v>2.5</v>
      </c>
      <c r="BH6" s="45">
        <f t="shared" si="20"/>
        <v>0.25</v>
      </c>
      <c r="BI6" s="31"/>
      <c r="BJ6" s="31">
        <v>0</v>
      </c>
      <c r="BK6" s="37">
        <f t="shared" si="21"/>
        <v>0</v>
      </c>
      <c r="BL6" s="38"/>
      <c r="BM6" s="46">
        <f t="shared" si="22"/>
        <v>0.57000000000000006</v>
      </c>
      <c r="BN6" s="24" t="str">
        <f t="shared" si="23"/>
        <v>Media</v>
      </c>
      <c r="BO6" s="47">
        <f t="shared" si="24"/>
        <v>0.35</v>
      </c>
      <c r="BP6" s="25" t="str">
        <f t="shared" si="25"/>
        <v>Media</v>
      </c>
      <c r="BQ6" s="48">
        <f t="shared" si="26"/>
        <v>0.92</v>
      </c>
      <c r="BR6" s="49" t="s">
        <v>54</v>
      </c>
      <c r="BS6" s="27" t="str">
        <f t="shared" si="27"/>
        <v>Alta</v>
      </c>
    </row>
    <row r="7" spans="1:71" x14ac:dyDescent="0.3">
      <c r="A7" s="28" t="s">
        <v>63</v>
      </c>
      <c r="B7" s="29">
        <v>43807</v>
      </c>
      <c r="C7" s="30">
        <v>18021</v>
      </c>
      <c r="D7" s="31">
        <f t="shared" si="6"/>
        <v>3</v>
      </c>
      <c r="E7" s="31" t="s">
        <v>61</v>
      </c>
      <c r="F7" s="30">
        <v>133</v>
      </c>
      <c r="G7" s="31">
        <v>0</v>
      </c>
      <c r="H7" s="30">
        <f t="shared" si="0"/>
        <v>399</v>
      </c>
      <c r="I7" s="30">
        <v>40</v>
      </c>
      <c r="J7" s="30">
        <f t="shared" si="7"/>
        <v>40000</v>
      </c>
      <c r="K7" s="32">
        <f t="shared" si="8"/>
        <v>100.25062656641605</v>
      </c>
      <c r="L7" s="32">
        <v>0</v>
      </c>
      <c r="M7" s="30">
        <v>100</v>
      </c>
      <c r="N7" s="30">
        <v>1</v>
      </c>
      <c r="O7" s="32">
        <f t="shared" si="1"/>
        <v>39.9</v>
      </c>
      <c r="P7" s="32">
        <f t="shared" si="2"/>
        <v>0</v>
      </c>
      <c r="Q7" s="32">
        <f t="shared" si="3"/>
        <v>40</v>
      </c>
      <c r="R7" s="32">
        <f t="shared" si="9"/>
        <v>1.0025062656641603</v>
      </c>
      <c r="S7" s="31">
        <v>0.2</v>
      </c>
      <c r="T7" s="33">
        <f t="shared" si="10"/>
        <v>2.0000000000000004E-2</v>
      </c>
      <c r="U7" s="31" t="s">
        <v>52</v>
      </c>
      <c r="V7" s="31">
        <v>0.6</v>
      </c>
      <c r="W7" s="33">
        <f t="shared" si="11"/>
        <v>0.06</v>
      </c>
      <c r="X7" s="31" t="s">
        <v>53</v>
      </c>
      <c r="Y7" s="31"/>
      <c r="Z7" s="33">
        <f t="shared" si="12"/>
        <v>0</v>
      </c>
      <c r="AA7" s="31"/>
      <c r="AB7" s="31">
        <v>0.6</v>
      </c>
      <c r="AC7" s="33">
        <f t="shared" si="13"/>
        <v>0.06</v>
      </c>
      <c r="AD7" s="31" t="s">
        <v>53</v>
      </c>
      <c r="AE7" s="31">
        <v>0.5</v>
      </c>
      <c r="AF7" s="31">
        <v>0</v>
      </c>
      <c r="AG7" s="31">
        <v>1</v>
      </c>
      <c r="AH7" s="31">
        <v>0</v>
      </c>
      <c r="AI7" s="31">
        <v>0.5</v>
      </c>
      <c r="AJ7" s="34">
        <f t="shared" si="4"/>
        <v>2</v>
      </c>
      <c r="AK7" s="35">
        <f t="shared" si="14"/>
        <v>0.2</v>
      </c>
      <c r="AL7" s="31"/>
      <c r="AM7" s="31">
        <v>0</v>
      </c>
      <c r="AN7" s="31">
        <v>0</v>
      </c>
      <c r="AO7" s="31">
        <v>0</v>
      </c>
      <c r="AP7" s="36">
        <f t="shared" si="5"/>
        <v>0</v>
      </c>
      <c r="AQ7" s="37">
        <f t="shared" si="15"/>
        <v>0</v>
      </c>
      <c r="AR7" s="31"/>
      <c r="AS7" s="31">
        <v>1</v>
      </c>
      <c r="AT7" s="37">
        <f t="shared" si="16"/>
        <v>0.1</v>
      </c>
      <c r="AU7" s="31"/>
      <c r="AV7" s="31">
        <v>1</v>
      </c>
      <c r="AW7" s="31">
        <v>0</v>
      </c>
      <c r="AX7" s="31">
        <v>0</v>
      </c>
      <c r="AY7" s="36">
        <f t="shared" si="17"/>
        <v>1</v>
      </c>
      <c r="AZ7" s="33">
        <f t="shared" si="18"/>
        <v>0.1</v>
      </c>
      <c r="BA7" s="31"/>
      <c r="BB7" s="31">
        <v>1</v>
      </c>
      <c r="BC7" s="31">
        <v>1</v>
      </c>
      <c r="BD7" s="31">
        <v>1</v>
      </c>
      <c r="BE7" s="31">
        <v>1</v>
      </c>
      <c r="BF7" s="31">
        <v>1</v>
      </c>
      <c r="BG7" s="44">
        <f t="shared" si="19"/>
        <v>5</v>
      </c>
      <c r="BH7" s="45">
        <f t="shared" si="20"/>
        <v>0.5</v>
      </c>
      <c r="BI7" s="31"/>
      <c r="BJ7" s="31">
        <v>0</v>
      </c>
      <c r="BK7" s="37">
        <f t="shared" si="21"/>
        <v>0</v>
      </c>
      <c r="BL7" s="38"/>
      <c r="BM7" s="50">
        <f t="shared" si="22"/>
        <v>0.44000000000000006</v>
      </c>
      <c r="BN7" s="24" t="str">
        <f t="shared" si="23"/>
        <v>Media</v>
      </c>
      <c r="BO7" s="51">
        <f t="shared" si="24"/>
        <v>0.6</v>
      </c>
      <c r="BP7" s="25" t="str">
        <f t="shared" si="25"/>
        <v>Media</v>
      </c>
      <c r="BQ7" s="52">
        <f t="shared" si="26"/>
        <v>1.04</v>
      </c>
      <c r="BR7" s="53" t="s">
        <v>62</v>
      </c>
      <c r="BS7" s="27" t="str">
        <f t="shared" si="27"/>
        <v>Muy alta</v>
      </c>
    </row>
    <row r="8" spans="1:71" ht="15.6" x14ac:dyDescent="0.3">
      <c r="A8" s="28" t="s">
        <v>64</v>
      </c>
      <c r="B8" s="29">
        <v>43807</v>
      </c>
      <c r="C8" s="30">
        <v>18021</v>
      </c>
      <c r="D8" s="31">
        <f t="shared" si="6"/>
        <v>3</v>
      </c>
      <c r="E8" s="31" t="s">
        <v>51</v>
      </c>
      <c r="F8" s="30">
        <v>800</v>
      </c>
      <c r="G8" s="31">
        <v>200</v>
      </c>
      <c r="H8" s="30">
        <f t="shared" si="0"/>
        <v>2400</v>
      </c>
      <c r="I8" s="30">
        <v>75</v>
      </c>
      <c r="J8" s="30">
        <f t="shared" si="7"/>
        <v>75000</v>
      </c>
      <c r="K8" s="32">
        <f t="shared" si="8"/>
        <v>31.25</v>
      </c>
      <c r="L8" s="32">
        <v>1</v>
      </c>
      <c r="M8" s="30">
        <v>100</v>
      </c>
      <c r="N8" s="30">
        <v>1</v>
      </c>
      <c r="O8" s="32">
        <f t="shared" si="1"/>
        <v>240</v>
      </c>
      <c r="P8" s="32">
        <f t="shared" si="2"/>
        <v>240</v>
      </c>
      <c r="Q8" s="32">
        <f t="shared" si="3"/>
        <v>315</v>
      </c>
      <c r="R8" s="32">
        <f t="shared" si="9"/>
        <v>1.3125</v>
      </c>
      <c r="S8" s="31">
        <v>0.6</v>
      </c>
      <c r="T8" s="33">
        <f t="shared" si="10"/>
        <v>0.06</v>
      </c>
      <c r="U8" s="31" t="s">
        <v>53</v>
      </c>
      <c r="V8" s="31">
        <v>0.2</v>
      </c>
      <c r="W8" s="33">
        <f t="shared" si="11"/>
        <v>2.0000000000000004E-2</v>
      </c>
      <c r="X8" s="31" t="s">
        <v>52</v>
      </c>
      <c r="Y8" s="31"/>
      <c r="Z8" s="33">
        <f t="shared" si="12"/>
        <v>0</v>
      </c>
      <c r="AA8" s="31"/>
      <c r="AB8" s="44">
        <v>1</v>
      </c>
      <c r="AC8" s="35">
        <f t="shared" si="13"/>
        <v>0.1</v>
      </c>
      <c r="AD8" s="44" t="s">
        <v>62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6">
        <f t="shared" si="4"/>
        <v>0</v>
      </c>
      <c r="AK8" s="33">
        <f t="shared" si="14"/>
        <v>0</v>
      </c>
      <c r="AL8" s="31"/>
      <c r="AM8" s="31">
        <v>0</v>
      </c>
      <c r="AN8" s="31">
        <v>0</v>
      </c>
      <c r="AO8" s="31">
        <v>0</v>
      </c>
      <c r="AP8" s="36">
        <f t="shared" si="5"/>
        <v>0</v>
      </c>
      <c r="AQ8" s="37">
        <f t="shared" si="15"/>
        <v>0</v>
      </c>
      <c r="AR8" s="31"/>
      <c r="AS8" s="31">
        <v>0</v>
      </c>
      <c r="AT8" s="37">
        <f t="shared" si="16"/>
        <v>0</v>
      </c>
      <c r="AU8" s="31"/>
      <c r="AV8" s="31">
        <v>1</v>
      </c>
      <c r="AW8" s="31">
        <v>0</v>
      </c>
      <c r="AX8" s="31">
        <v>0</v>
      </c>
      <c r="AY8" s="36">
        <f t="shared" si="17"/>
        <v>1</v>
      </c>
      <c r="AZ8" s="33">
        <f t="shared" si="18"/>
        <v>0.1</v>
      </c>
      <c r="BA8" s="31"/>
      <c r="BB8" s="31">
        <v>0</v>
      </c>
      <c r="BC8" s="31">
        <v>0</v>
      </c>
      <c r="BD8" s="31">
        <v>0</v>
      </c>
      <c r="BE8" s="31">
        <v>0</v>
      </c>
      <c r="BF8" s="31">
        <v>1</v>
      </c>
      <c r="BG8" s="31">
        <f t="shared" si="19"/>
        <v>1</v>
      </c>
      <c r="BH8" s="37">
        <f t="shared" si="20"/>
        <v>0.1</v>
      </c>
      <c r="BI8" s="31"/>
      <c r="BJ8" s="31">
        <v>0</v>
      </c>
      <c r="BK8" s="37">
        <f t="shared" si="21"/>
        <v>0</v>
      </c>
      <c r="BL8" s="38"/>
      <c r="BM8" s="39">
        <f t="shared" si="22"/>
        <v>0.28000000000000003</v>
      </c>
      <c r="BN8" s="24" t="str">
        <f t="shared" si="23"/>
        <v>Baja</v>
      </c>
      <c r="BO8" s="40">
        <f t="shared" si="24"/>
        <v>0.1</v>
      </c>
      <c r="BP8" s="25" t="str">
        <f t="shared" si="25"/>
        <v>Baja</v>
      </c>
      <c r="BQ8" s="41">
        <f t="shared" si="26"/>
        <v>0.38</v>
      </c>
      <c r="BR8" s="42" t="s">
        <v>53</v>
      </c>
      <c r="BS8" s="43" t="str">
        <f t="shared" si="27"/>
        <v>Media</v>
      </c>
    </row>
    <row r="9" spans="1:71" ht="15.6" x14ac:dyDescent="0.3">
      <c r="A9" s="28" t="s">
        <v>65</v>
      </c>
      <c r="B9" s="29">
        <v>43807</v>
      </c>
      <c r="C9" s="30">
        <v>18021</v>
      </c>
      <c r="D9" s="31">
        <f t="shared" si="6"/>
        <v>3</v>
      </c>
      <c r="E9" s="31" t="s">
        <v>51</v>
      </c>
      <c r="F9" s="30">
        <v>1246</v>
      </c>
      <c r="G9" s="31">
        <v>154</v>
      </c>
      <c r="H9" s="30">
        <f t="shared" si="0"/>
        <v>3738</v>
      </c>
      <c r="I9" s="30">
        <f>100+25+120</f>
        <v>245</v>
      </c>
      <c r="J9" s="30">
        <f t="shared" si="7"/>
        <v>245000</v>
      </c>
      <c r="K9" s="32">
        <f t="shared" si="8"/>
        <v>65.543071161048687</v>
      </c>
      <c r="L9" s="32">
        <v>0</v>
      </c>
      <c r="M9" s="30">
        <v>100</v>
      </c>
      <c r="N9" s="30">
        <v>1</v>
      </c>
      <c r="O9" s="32">
        <f t="shared" si="1"/>
        <v>373.8</v>
      </c>
      <c r="P9" s="32">
        <f t="shared" si="2"/>
        <v>0</v>
      </c>
      <c r="Q9" s="32">
        <f t="shared" si="3"/>
        <v>245</v>
      </c>
      <c r="R9" s="32">
        <f t="shared" si="9"/>
        <v>0.65543071161048683</v>
      </c>
      <c r="S9" s="44">
        <v>0.8</v>
      </c>
      <c r="T9" s="35">
        <f t="shared" si="10"/>
        <v>8.0000000000000016E-2</v>
      </c>
      <c r="U9" s="44" t="s">
        <v>54</v>
      </c>
      <c r="V9" s="44">
        <v>1</v>
      </c>
      <c r="W9" s="35">
        <f t="shared" si="11"/>
        <v>0.1</v>
      </c>
      <c r="X9" s="44" t="s">
        <v>62</v>
      </c>
      <c r="Y9" s="31"/>
      <c r="Z9" s="33">
        <f t="shared" si="12"/>
        <v>0</v>
      </c>
      <c r="AA9" s="31"/>
      <c r="AB9" s="44">
        <v>1</v>
      </c>
      <c r="AC9" s="35">
        <f t="shared" si="13"/>
        <v>0.1</v>
      </c>
      <c r="AD9" s="44" t="s">
        <v>62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6">
        <f t="shared" si="4"/>
        <v>0</v>
      </c>
      <c r="AK9" s="33">
        <f t="shared" si="14"/>
        <v>0</v>
      </c>
      <c r="AL9" s="31"/>
      <c r="AM9" s="31">
        <v>0</v>
      </c>
      <c r="AN9" s="31">
        <v>0</v>
      </c>
      <c r="AO9" s="31">
        <v>0</v>
      </c>
      <c r="AP9" s="36">
        <f t="shared" si="5"/>
        <v>0</v>
      </c>
      <c r="AQ9" s="37">
        <f t="shared" si="15"/>
        <v>0</v>
      </c>
      <c r="AR9" s="31"/>
      <c r="AS9" s="31">
        <v>1</v>
      </c>
      <c r="AT9" s="37">
        <f t="shared" si="16"/>
        <v>0.1</v>
      </c>
      <c r="AU9" s="31"/>
      <c r="AV9" s="31">
        <v>0</v>
      </c>
      <c r="AW9" s="31">
        <v>0</v>
      </c>
      <c r="AX9" s="31">
        <v>1</v>
      </c>
      <c r="AY9" s="36">
        <f t="shared" si="17"/>
        <v>1</v>
      </c>
      <c r="AZ9" s="33">
        <f t="shared" si="18"/>
        <v>0.1</v>
      </c>
      <c r="BA9" s="31"/>
      <c r="BB9" s="31">
        <v>0.5</v>
      </c>
      <c r="BC9" s="31">
        <v>0</v>
      </c>
      <c r="BD9" s="31">
        <v>0</v>
      </c>
      <c r="BE9" s="31">
        <v>0</v>
      </c>
      <c r="BF9" s="31">
        <v>0</v>
      </c>
      <c r="BG9" s="31">
        <f t="shared" si="19"/>
        <v>0.5</v>
      </c>
      <c r="BH9" s="37">
        <f t="shared" si="20"/>
        <v>0.05</v>
      </c>
      <c r="BI9" s="31"/>
      <c r="BJ9" s="31">
        <v>0</v>
      </c>
      <c r="BK9" s="37">
        <f t="shared" si="21"/>
        <v>0</v>
      </c>
      <c r="BL9" s="38"/>
      <c r="BM9" s="39">
        <f t="shared" si="22"/>
        <v>0.38</v>
      </c>
      <c r="BN9" s="24" t="str">
        <f t="shared" si="23"/>
        <v>Media</v>
      </c>
      <c r="BO9" s="40">
        <f t="shared" si="24"/>
        <v>0.15000000000000002</v>
      </c>
      <c r="BP9" s="25" t="str">
        <f t="shared" si="25"/>
        <v>Baja</v>
      </c>
      <c r="BQ9" s="41">
        <f t="shared" si="26"/>
        <v>0.53</v>
      </c>
      <c r="BR9" s="42" t="s">
        <v>53</v>
      </c>
      <c r="BS9" s="43" t="str">
        <f t="shared" si="27"/>
        <v>Media</v>
      </c>
    </row>
    <row r="10" spans="1:71" x14ac:dyDescent="0.3">
      <c r="A10" s="28" t="s">
        <v>66</v>
      </c>
      <c r="B10" s="29">
        <v>14858</v>
      </c>
      <c r="C10" s="30">
        <v>6706</v>
      </c>
      <c r="D10" s="31">
        <f t="shared" si="6"/>
        <v>3</v>
      </c>
      <c r="E10" s="31" t="s">
        <v>51</v>
      </c>
      <c r="F10" s="30">
        <v>155</v>
      </c>
      <c r="G10" s="31">
        <v>21</v>
      </c>
      <c r="H10" s="30">
        <f t="shared" si="0"/>
        <v>465</v>
      </c>
      <c r="I10" s="30">
        <v>45</v>
      </c>
      <c r="J10" s="30">
        <f t="shared" si="7"/>
        <v>45000</v>
      </c>
      <c r="K10" s="32">
        <f t="shared" si="8"/>
        <v>96.774193548387103</v>
      </c>
      <c r="L10" s="32">
        <v>0.5</v>
      </c>
      <c r="M10" s="30">
        <v>100</v>
      </c>
      <c r="N10" s="30">
        <v>1</v>
      </c>
      <c r="O10" s="32">
        <f t="shared" si="1"/>
        <v>46.5</v>
      </c>
      <c r="P10" s="32">
        <f t="shared" si="2"/>
        <v>23.25</v>
      </c>
      <c r="Q10" s="32">
        <f t="shared" si="3"/>
        <v>68.25</v>
      </c>
      <c r="R10" s="32">
        <f t="shared" si="9"/>
        <v>1.467741935483871</v>
      </c>
      <c r="S10" s="31">
        <v>0.2</v>
      </c>
      <c r="T10" s="33">
        <f t="shared" si="10"/>
        <v>2.0000000000000004E-2</v>
      </c>
      <c r="U10" s="31" t="s">
        <v>52</v>
      </c>
      <c r="V10" s="31">
        <v>0.2</v>
      </c>
      <c r="W10" s="33">
        <f t="shared" si="11"/>
        <v>2.0000000000000004E-2</v>
      </c>
      <c r="X10" s="31" t="s">
        <v>52</v>
      </c>
      <c r="Y10" s="31"/>
      <c r="Z10" s="33">
        <f t="shared" si="12"/>
        <v>0</v>
      </c>
      <c r="AA10" s="31"/>
      <c r="AB10" s="31">
        <v>0.6</v>
      </c>
      <c r="AC10" s="33">
        <f t="shared" si="13"/>
        <v>0.06</v>
      </c>
      <c r="AD10" s="31" t="s">
        <v>53</v>
      </c>
      <c r="AE10" s="31">
        <v>0</v>
      </c>
      <c r="AF10" s="31">
        <v>0</v>
      </c>
      <c r="AG10" s="31">
        <v>1</v>
      </c>
      <c r="AH10" s="31">
        <v>0</v>
      </c>
      <c r="AI10" s="31">
        <v>0.5</v>
      </c>
      <c r="AJ10" s="34">
        <f t="shared" si="4"/>
        <v>1.5</v>
      </c>
      <c r="AK10" s="35">
        <f t="shared" si="14"/>
        <v>0.15000000000000002</v>
      </c>
      <c r="AL10" s="31"/>
      <c r="AM10" s="31">
        <v>0.5</v>
      </c>
      <c r="AN10" s="31">
        <v>0</v>
      </c>
      <c r="AO10" s="31">
        <v>0</v>
      </c>
      <c r="AP10" s="36">
        <f t="shared" si="5"/>
        <v>0.5</v>
      </c>
      <c r="AQ10" s="37">
        <f t="shared" si="15"/>
        <v>0.05</v>
      </c>
      <c r="AR10" s="31"/>
      <c r="AS10" s="31">
        <v>1</v>
      </c>
      <c r="AT10" s="37">
        <f t="shared" si="16"/>
        <v>0.1</v>
      </c>
      <c r="AU10" s="31"/>
      <c r="AV10" s="31">
        <v>1</v>
      </c>
      <c r="AW10" s="31">
        <v>0</v>
      </c>
      <c r="AX10" s="31">
        <v>0</v>
      </c>
      <c r="AY10" s="36">
        <f t="shared" si="17"/>
        <v>1</v>
      </c>
      <c r="AZ10" s="33">
        <f t="shared" si="18"/>
        <v>0.1</v>
      </c>
      <c r="BA10" s="31"/>
      <c r="BB10" s="31">
        <v>1</v>
      </c>
      <c r="BC10" s="31">
        <v>1</v>
      </c>
      <c r="BD10" s="31">
        <v>0</v>
      </c>
      <c r="BE10" s="31">
        <v>1</v>
      </c>
      <c r="BF10" s="31">
        <v>1</v>
      </c>
      <c r="BG10" s="44">
        <f t="shared" si="19"/>
        <v>4</v>
      </c>
      <c r="BH10" s="45">
        <f t="shared" si="20"/>
        <v>0.4</v>
      </c>
      <c r="BI10" s="31"/>
      <c r="BJ10" s="31">
        <v>1</v>
      </c>
      <c r="BK10" s="37">
        <f t="shared" si="21"/>
        <v>0.1</v>
      </c>
      <c r="BL10" s="38"/>
      <c r="BM10" s="46">
        <f t="shared" si="22"/>
        <v>0.35</v>
      </c>
      <c r="BN10" s="24" t="str">
        <f t="shared" si="23"/>
        <v>Media</v>
      </c>
      <c r="BO10" s="47">
        <f t="shared" si="24"/>
        <v>0.65</v>
      </c>
      <c r="BP10" s="25" t="str">
        <f t="shared" si="25"/>
        <v>Media</v>
      </c>
      <c r="BQ10" s="48">
        <f t="shared" si="26"/>
        <v>1</v>
      </c>
      <c r="BR10" s="49" t="s">
        <v>54</v>
      </c>
      <c r="BS10" s="27" t="str">
        <f t="shared" si="27"/>
        <v>Alta</v>
      </c>
    </row>
    <row r="11" spans="1:71" ht="15.6" x14ac:dyDescent="0.3">
      <c r="A11" s="54" t="s">
        <v>67</v>
      </c>
      <c r="B11" s="29">
        <v>13762</v>
      </c>
      <c r="C11" s="30">
        <v>5659</v>
      </c>
      <c r="D11" s="31">
        <f t="shared" si="6"/>
        <v>3</v>
      </c>
      <c r="E11" s="31" t="s">
        <v>57</v>
      </c>
      <c r="F11" s="30">
        <v>401</v>
      </c>
      <c r="G11" s="31">
        <v>0</v>
      </c>
      <c r="H11" s="30">
        <f>+D11*F11</f>
        <v>1203</v>
      </c>
      <c r="I11" s="30">
        <f>75+20+10</f>
        <v>105</v>
      </c>
      <c r="J11" s="30">
        <f t="shared" si="7"/>
        <v>105000</v>
      </c>
      <c r="K11" s="32">
        <f t="shared" si="8"/>
        <v>87.281795511221944</v>
      </c>
      <c r="L11" s="32">
        <v>0</v>
      </c>
      <c r="M11" s="30">
        <v>100</v>
      </c>
      <c r="N11" s="30">
        <v>1</v>
      </c>
      <c r="O11" s="32">
        <f t="shared" si="1"/>
        <v>120.3</v>
      </c>
      <c r="P11" s="32">
        <f t="shared" si="2"/>
        <v>0</v>
      </c>
      <c r="Q11" s="32">
        <f t="shared" si="3"/>
        <v>105</v>
      </c>
      <c r="R11" s="32">
        <f t="shared" si="9"/>
        <v>0.87281795511221949</v>
      </c>
      <c r="S11" s="31">
        <v>0.4</v>
      </c>
      <c r="T11" s="33">
        <f t="shared" si="10"/>
        <v>4.0000000000000008E-2</v>
      </c>
      <c r="U11" s="31" t="s">
        <v>59</v>
      </c>
      <c r="V11" s="44">
        <v>0.8</v>
      </c>
      <c r="W11" s="35">
        <f t="shared" si="11"/>
        <v>8.0000000000000016E-2</v>
      </c>
      <c r="X11" s="44" t="s">
        <v>54</v>
      </c>
      <c r="Y11" s="31"/>
      <c r="Z11" s="33">
        <f t="shared" si="12"/>
        <v>0</v>
      </c>
      <c r="AA11" s="31"/>
      <c r="AB11" s="44">
        <v>0.8</v>
      </c>
      <c r="AC11" s="35">
        <f t="shared" si="13"/>
        <v>8.0000000000000016E-2</v>
      </c>
      <c r="AD11" s="44" t="s">
        <v>54</v>
      </c>
      <c r="AE11" s="31">
        <v>0</v>
      </c>
      <c r="AF11" s="31">
        <v>0</v>
      </c>
      <c r="AG11" s="31">
        <v>1</v>
      </c>
      <c r="AH11" s="31">
        <v>0</v>
      </c>
      <c r="AI11" s="31">
        <v>0</v>
      </c>
      <c r="AJ11" s="36">
        <f t="shared" si="4"/>
        <v>1</v>
      </c>
      <c r="AK11" s="33">
        <f t="shared" si="14"/>
        <v>0.1</v>
      </c>
      <c r="AL11" s="31"/>
      <c r="AM11" s="31">
        <v>0</v>
      </c>
      <c r="AN11" s="31">
        <v>0</v>
      </c>
      <c r="AO11" s="31">
        <v>0</v>
      </c>
      <c r="AP11" s="36">
        <f t="shared" si="5"/>
        <v>0</v>
      </c>
      <c r="AQ11" s="37">
        <f t="shared" si="15"/>
        <v>0</v>
      </c>
      <c r="AR11" s="31"/>
      <c r="AS11" s="31">
        <v>1</v>
      </c>
      <c r="AT11" s="37">
        <f t="shared" si="16"/>
        <v>0.1</v>
      </c>
      <c r="AU11" s="31"/>
      <c r="AV11" s="31">
        <v>1</v>
      </c>
      <c r="AW11" s="31">
        <v>0</v>
      </c>
      <c r="AX11" s="31">
        <v>0</v>
      </c>
      <c r="AY11" s="36">
        <f t="shared" si="17"/>
        <v>1</v>
      </c>
      <c r="AZ11" s="33">
        <f t="shared" si="18"/>
        <v>0.1</v>
      </c>
      <c r="BA11" s="31"/>
      <c r="BB11" s="31">
        <v>0.5</v>
      </c>
      <c r="BC11" s="31">
        <v>0</v>
      </c>
      <c r="BD11" s="31">
        <v>0</v>
      </c>
      <c r="BE11" s="31">
        <v>0</v>
      </c>
      <c r="BF11" s="31">
        <v>0</v>
      </c>
      <c r="BG11" s="31">
        <f t="shared" si="19"/>
        <v>0.5</v>
      </c>
      <c r="BH11" s="37">
        <f t="shared" si="20"/>
        <v>0.05</v>
      </c>
      <c r="BI11" s="31"/>
      <c r="BJ11" s="31">
        <v>0</v>
      </c>
      <c r="BK11" s="37">
        <f t="shared" si="21"/>
        <v>0</v>
      </c>
      <c r="BL11" s="38"/>
      <c r="BM11" s="39">
        <f t="shared" si="22"/>
        <v>0.4</v>
      </c>
      <c r="BN11" s="24" t="str">
        <f t="shared" si="23"/>
        <v>Media</v>
      </c>
      <c r="BO11" s="40">
        <f t="shared" si="24"/>
        <v>0.15000000000000002</v>
      </c>
      <c r="BP11" s="25" t="str">
        <f t="shared" si="25"/>
        <v>Baja</v>
      </c>
      <c r="BQ11" s="41">
        <f t="shared" si="26"/>
        <v>0.55000000000000004</v>
      </c>
      <c r="BR11" s="42" t="s">
        <v>53</v>
      </c>
      <c r="BS11" s="43" t="str">
        <f t="shared" si="27"/>
        <v>Media</v>
      </c>
    </row>
    <row r="12" spans="1:71" ht="15.6" x14ac:dyDescent="0.3">
      <c r="A12" s="54" t="s">
        <v>68</v>
      </c>
      <c r="B12" s="29">
        <v>5385</v>
      </c>
      <c r="C12" s="30">
        <v>2450</v>
      </c>
      <c r="D12" s="31">
        <f t="shared" si="6"/>
        <v>3</v>
      </c>
      <c r="E12" s="31" t="s">
        <v>51</v>
      </c>
      <c r="F12" s="30">
        <v>1383</v>
      </c>
      <c r="G12" s="31">
        <v>0</v>
      </c>
      <c r="H12" s="30">
        <f>+D12*F12</f>
        <v>4149</v>
      </c>
      <c r="I12" s="30">
        <v>400</v>
      </c>
      <c r="J12" s="30">
        <f t="shared" si="7"/>
        <v>400000</v>
      </c>
      <c r="K12" s="32">
        <f t="shared" si="8"/>
        <v>96.408773198361047</v>
      </c>
      <c r="L12" s="32">
        <v>0</v>
      </c>
      <c r="M12" s="30">
        <v>100</v>
      </c>
      <c r="N12" s="30">
        <v>1</v>
      </c>
      <c r="O12" s="32">
        <f t="shared" si="1"/>
        <v>414.9</v>
      </c>
      <c r="P12" s="32">
        <f t="shared" si="2"/>
        <v>0</v>
      </c>
      <c r="Q12" s="32">
        <f t="shared" si="3"/>
        <v>400</v>
      </c>
      <c r="R12" s="32">
        <f t="shared" si="9"/>
        <v>0.96408773198361053</v>
      </c>
      <c r="S12" s="44">
        <v>0.8</v>
      </c>
      <c r="T12" s="35">
        <f t="shared" si="10"/>
        <v>8.0000000000000016E-2</v>
      </c>
      <c r="U12" s="44" t="s">
        <v>54</v>
      </c>
      <c r="V12" s="31">
        <v>0.6</v>
      </c>
      <c r="W12" s="33">
        <f t="shared" si="11"/>
        <v>0.06</v>
      </c>
      <c r="X12" s="31" t="s">
        <v>53</v>
      </c>
      <c r="Y12" s="31"/>
      <c r="Z12" s="33">
        <f t="shared" si="12"/>
        <v>0</v>
      </c>
      <c r="AA12" s="31"/>
      <c r="AB12" s="31">
        <v>0.6</v>
      </c>
      <c r="AC12" s="33">
        <f t="shared" si="13"/>
        <v>0.06</v>
      </c>
      <c r="AD12" s="31" t="s">
        <v>53</v>
      </c>
      <c r="AE12" s="31">
        <v>0</v>
      </c>
      <c r="AF12" s="31">
        <v>0</v>
      </c>
      <c r="AG12" s="31">
        <v>1</v>
      </c>
      <c r="AH12" s="31">
        <v>0</v>
      </c>
      <c r="AI12" s="31">
        <v>0</v>
      </c>
      <c r="AJ12" s="36">
        <f t="shared" si="4"/>
        <v>1</v>
      </c>
      <c r="AK12" s="33">
        <f t="shared" si="14"/>
        <v>0.1</v>
      </c>
      <c r="AL12" s="31"/>
      <c r="AM12" s="31">
        <v>0</v>
      </c>
      <c r="AN12" s="31">
        <v>0</v>
      </c>
      <c r="AO12" s="31">
        <v>0</v>
      </c>
      <c r="AP12" s="36">
        <f t="shared" si="5"/>
        <v>0</v>
      </c>
      <c r="AQ12" s="37">
        <f t="shared" si="15"/>
        <v>0</v>
      </c>
      <c r="AR12" s="31"/>
      <c r="AS12" s="31">
        <v>0</v>
      </c>
      <c r="AT12" s="37">
        <f t="shared" si="16"/>
        <v>0</v>
      </c>
      <c r="AU12" s="31"/>
      <c r="AV12" s="31">
        <v>1</v>
      </c>
      <c r="AW12" s="31">
        <v>0</v>
      </c>
      <c r="AX12" s="31">
        <v>0</v>
      </c>
      <c r="AY12" s="36">
        <f t="shared" si="17"/>
        <v>1</v>
      </c>
      <c r="AZ12" s="33">
        <f t="shared" si="18"/>
        <v>0.1</v>
      </c>
      <c r="BA12" s="31"/>
      <c r="BB12" s="31">
        <v>0</v>
      </c>
      <c r="BC12" s="31">
        <v>0</v>
      </c>
      <c r="BD12" s="31">
        <v>0</v>
      </c>
      <c r="BE12" s="31">
        <v>0</v>
      </c>
      <c r="BF12" s="31">
        <v>1</v>
      </c>
      <c r="BG12" s="31">
        <f t="shared" si="19"/>
        <v>1</v>
      </c>
      <c r="BH12" s="37">
        <f t="shared" si="20"/>
        <v>0.1</v>
      </c>
      <c r="BI12" s="31"/>
      <c r="BJ12" s="31">
        <v>0</v>
      </c>
      <c r="BK12" s="37">
        <f t="shared" si="21"/>
        <v>0</v>
      </c>
      <c r="BL12" s="38"/>
      <c r="BM12" s="39">
        <f t="shared" si="22"/>
        <v>0.4</v>
      </c>
      <c r="BN12" s="24" t="str">
        <f t="shared" si="23"/>
        <v>Media</v>
      </c>
      <c r="BO12" s="40">
        <f t="shared" si="24"/>
        <v>0.1</v>
      </c>
      <c r="BP12" s="25" t="str">
        <f t="shared" si="25"/>
        <v>Baja</v>
      </c>
      <c r="BQ12" s="41">
        <f t="shared" si="26"/>
        <v>0.5</v>
      </c>
      <c r="BR12" s="42" t="s">
        <v>53</v>
      </c>
      <c r="BS12" s="43" t="str">
        <f t="shared" si="27"/>
        <v>Media</v>
      </c>
    </row>
    <row r="13" spans="1:71" x14ac:dyDescent="0.3">
      <c r="A13" s="54" t="s">
        <v>69</v>
      </c>
      <c r="B13" s="29">
        <v>27192</v>
      </c>
      <c r="C13" s="30">
        <v>11003</v>
      </c>
      <c r="D13" s="31">
        <f t="shared" si="6"/>
        <v>3</v>
      </c>
      <c r="E13" s="31" t="s">
        <v>61</v>
      </c>
      <c r="F13" s="30">
        <v>160</v>
      </c>
      <c r="G13" s="31">
        <v>15</v>
      </c>
      <c r="H13" s="30">
        <f t="shared" si="0"/>
        <v>480</v>
      </c>
      <c r="I13" s="30">
        <v>30</v>
      </c>
      <c r="J13" s="30">
        <f t="shared" si="7"/>
        <v>30000</v>
      </c>
      <c r="K13" s="32">
        <f t="shared" si="8"/>
        <v>62.5</v>
      </c>
      <c r="L13" s="32">
        <v>0.5</v>
      </c>
      <c r="M13" s="30">
        <v>100</v>
      </c>
      <c r="N13" s="30">
        <v>1</v>
      </c>
      <c r="O13" s="32">
        <f t="shared" si="1"/>
        <v>48</v>
      </c>
      <c r="P13" s="32">
        <f t="shared" si="2"/>
        <v>24</v>
      </c>
      <c r="Q13" s="32">
        <f t="shared" si="3"/>
        <v>54</v>
      </c>
      <c r="R13" s="32">
        <f t="shared" si="9"/>
        <v>1.125</v>
      </c>
      <c r="S13" s="31">
        <v>0.2</v>
      </c>
      <c r="T13" s="33">
        <f t="shared" si="10"/>
        <v>2.0000000000000004E-2</v>
      </c>
      <c r="U13" s="31" t="s">
        <v>52</v>
      </c>
      <c r="V13" s="31">
        <v>0.4</v>
      </c>
      <c r="W13" s="33">
        <f t="shared" si="11"/>
        <v>4.0000000000000008E-2</v>
      </c>
      <c r="X13" s="31" t="s">
        <v>59</v>
      </c>
      <c r="Y13" s="31"/>
      <c r="Z13" s="33">
        <f t="shared" si="12"/>
        <v>0</v>
      </c>
      <c r="AA13" s="31"/>
      <c r="AB13" s="44">
        <v>1</v>
      </c>
      <c r="AC13" s="35">
        <f t="shared" si="13"/>
        <v>0.1</v>
      </c>
      <c r="AD13" s="44" t="s">
        <v>62</v>
      </c>
      <c r="AE13" s="31">
        <v>0</v>
      </c>
      <c r="AF13" s="31">
        <v>0</v>
      </c>
      <c r="AG13" s="31">
        <v>1</v>
      </c>
      <c r="AH13" s="31">
        <v>0.5</v>
      </c>
      <c r="AI13" s="31">
        <v>0</v>
      </c>
      <c r="AJ13" s="36">
        <f t="shared" si="4"/>
        <v>1.5</v>
      </c>
      <c r="AK13" s="33">
        <f t="shared" si="14"/>
        <v>0.15000000000000002</v>
      </c>
      <c r="AL13" s="31"/>
      <c r="AM13" s="31">
        <v>0</v>
      </c>
      <c r="AN13" s="31">
        <v>0</v>
      </c>
      <c r="AO13" s="31">
        <v>0</v>
      </c>
      <c r="AP13" s="36">
        <f t="shared" si="5"/>
        <v>0</v>
      </c>
      <c r="AQ13" s="37">
        <f t="shared" si="15"/>
        <v>0</v>
      </c>
      <c r="AR13" s="31"/>
      <c r="AS13" s="31">
        <v>1</v>
      </c>
      <c r="AT13" s="37">
        <f t="shared" si="16"/>
        <v>0.1</v>
      </c>
      <c r="AU13" s="31"/>
      <c r="AV13" s="31">
        <v>0</v>
      </c>
      <c r="AW13" s="31">
        <v>1</v>
      </c>
      <c r="AX13" s="31">
        <v>0</v>
      </c>
      <c r="AY13" s="36">
        <f t="shared" si="17"/>
        <v>1</v>
      </c>
      <c r="AZ13" s="33">
        <f t="shared" si="18"/>
        <v>0.1</v>
      </c>
      <c r="BA13" s="31"/>
      <c r="BB13" s="31">
        <v>0.5</v>
      </c>
      <c r="BC13" s="31">
        <v>1</v>
      </c>
      <c r="BD13" s="31">
        <v>0</v>
      </c>
      <c r="BE13" s="31">
        <v>0</v>
      </c>
      <c r="BF13" s="31">
        <v>0</v>
      </c>
      <c r="BG13" s="31">
        <f t="shared" si="19"/>
        <v>1.5</v>
      </c>
      <c r="BH13" s="37">
        <f t="shared" si="20"/>
        <v>0.15000000000000002</v>
      </c>
      <c r="BI13" s="31"/>
      <c r="BJ13" s="31">
        <v>1</v>
      </c>
      <c r="BK13" s="37">
        <f t="shared" si="21"/>
        <v>0.1</v>
      </c>
      <c r="BL13" s="38"/>
      <c r="BM13" s="46">
        <f t="shared" si="22"/>
        <v>0.41000000000000003</v>
      </c>
      <c r="BN13" s="24" t="str">
        <f t="shared" si="23"/>
        <v>Media</v>
      </c>
      <c r="BO13" s="47">
        <f t="shared" si="24"/>
        <v>0.35</v>
      </c>
      <c r="BP13" s="25" t="str">
        <f t="shared" si="25"/>
        <v>Media</v>
      </c>
      <c r="BQ13" s="48">
        <f t="shared" si="26"/>
        <v>0.76</v>
      </c>
      <c r="BR13" s="49" t="s">
        <v>54</v>
      </c>
      <c r="BS13" s="27" t="str">
        <f t="shared" si="27"/>
        <v>Alta</v>
      </c>
    </row>
    <row r="14" spans="1:71" x14ac:dyDescent="0.3">
      <c r="A14" s="55" t="s">
        <v>70</v>
      </c>
      <c r="B14" s="29">
        <v>27192</v>
      </c>
      <c r="C14" s="30">
        <v>11003</v>
      </c>
      <c r="D14" s="31">
        <f t="shared" si="6"/>
        <v>3</v>
      </c>
      <c r="E14" s="31" t="s">
        <v>51</v>
      </c>
      <c r="F14" s="30">
        <v>800</v>
      </c>
      <c r="G14" s="31">
        <v>800</v>
      </c>
      <c r="H14" s="30">
        <f t="shared" si="0"/>
        <v>2400</v>
      </c>
      <c r="I14" s="30">
        <v>20</v>
      </c>
      <c r="J14" s="30">
        <f t="shared" si="7"/>
        <v>20000</v>
      </c>
      <c r="K14" s="32">
        <f t="shared" si="8"/>
        <v>8.3333333333333339</v>
      </c>
      <c r="L14" s="32">
        <v>0.5</v>
      </c>
      <c r="M14" s="30">
        <v>100</v>
      </c>
      <c r="N14" s="30">
        <v>1</v>
      </c>
      <c r="O14" s="32">
        <f t="shared" si="1"/>
        <v>240</v>
      </c>
      <c r="P14" s="32">
        <f t="shared" si="2"/>
        <v>120</v>
      </c>
      <c r="Q14" s="32">
        <f t="shared" si="3"/>
        <v>140</v>
      </c>
      <c r="R14" s="32">
        <f t="shared" si="9"/>
        <v>0.58333333333333337</v>
      </c>
      <c r="S14" s="31">
        <v>0.6</v>
      </c>
      <c r="T14" s="33">
        <f t="shared" si="10"/>
        <v>0.06</v>
      </c>
      <c r="U14" s="31" t="s">
        <v>53</v>
      </c>
      <c r="V14" s="44">
        <v>1</v>
      </c>
      <c r="W14" s="35">
        <f t="shared" si="11"/>
        <v>0.1</v>
      </c>
      <c r="X14" s="44" t="s">
        <v>62</v>
      </c>
      <c r="Y14" s="31"/>
      <c r="Z14" s="33">
        <f t="shared" si="12"/>
        <v>0</v>
      </c>
      <c r="AA14" s="31"/>
      <c r="AB14" s="44">
        <v>1</v>
      </c>
      <c r="AC14" s="35">
        <f t="shared" si="13"/>
        <v>0.1</v>
      </c>
      <c r="AD14" s="44" t="s">
        <v>62</v>
      </c>
      <c r="AE14" s="31">
        <v>0</v>
      </c>
      <c r="AF14" s="31">
        <v>0.5</v>
      </c>
      <c r="AG14" s="31">
        <v>0.5</v>
      </c>
      <c r="AH14" s="31">
        <v>0</v>
      </c>
      <c r="AI14" s="31">
        <v>0.5</v>
      </c>
      <c r="AJ14" s="36">
        <f t="shared" si="4"/>
        <v>1.5</v>
      </c>
      <c r="AK14" s="33">
        <f t="shared" si="14"/>
        <v>0.15000000000000002</v>
      </c>
      <c r="AL14" s="31"/>
      <c r="AM14" s="31">
        <v>0</v>
      </c>
      <c r="AN14" s="31">
        <v>0</v>
      </c>
      <c r="AO14" s="31">
        <v>0</v>
      </c>
      <c r="AP14" s="36">
        <f t="shared" si="5"/>
        <v>0</v>
      </c>
      <c r="AQ14" s="37">
        <f t="shared" si="15"/>
        <v>0</v>
      </c>
      <c r="AR14" s="31"/>
      <c r="AS14" s="31">
        <v>1</v>
      </c>
      <c r="AT14" s="37">
        <f t="shared" si="16"/>
        <v>0.1</v>
      </c>
      <c r="AU14" s="31"/>
      <c r="AV14" s="31">
        <v>1</v>
      </c>
      <c r="AW14" s="31">
        <v>0</v>
      </c>
      <c r="AX14" s="31">
        <v>1</v>
      </c>
      <c r="AY14" s="36">
        <f t="shared" si="17"/>
        <v>2</v>
      </c>
      <c r="AZ14" s="33">
        <f t="shared" si="18"/>
        <v>0.2</v>
      </c>
      <c r="BA14" s="31"/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f t="shared" si="19"/>
        <v>0</v>
      </c>
      <c r="BH14" s="37">
        <f t="shared" si="20"/>
        <v>0</v>
      </c>
      <c r="BI14" s="31"/>
      <c r="BJ14" s="31">
        <v>0</v>
      </c>
      <c r="BK14" s="37">
        <f t="shared" si="21"/>
        <v>0</v>
      </c>
      <c r="BL14" s="38"/>
      <c r="BM14" s="46">
        <f t="shared" si="22"/>
        <v>0.6100000000000001</v>
      </c>
      <c r="BN14" s="24" t="str">
        <f t="shared" si="23"/>
        <v>Media</v>
      </c>
      <c r="BO14" s="47">
        <f t="shared" si="24"/>
        <v>0.1</v>
      </c>
      <c r="BP14" s="25" t="str">
        <f t="shared" si="25"/>
        <v>Baja</v>
      </c>
      <c r="BQ14" s="48">
        <f t="shared" si="26"/>
        <v>0.71000000000000008</v>
      </c>
      <c r="BR14" s="49" t="s">
        <v>54</v>
      </c>
      <c r="BS14" s="27" t="str">
        <f t="shared" si="27"/>
        <v>Alta</v>
      </c>
    </row>
    <row r="15" spans="1:71" x14ac:dyDescent="0.3">
      <c r="A15" s="54" t="s">
        <v>71</v>
      </c>
      <c r="B15" s="29">
        <v>27192</v>
      </c>
      <c r="C15" s="30">
        <v>11003</v>
      </c>
      <c r="D15" s="31">
        <f t="shared" si="6"/>
        <v>3</v>
      </c>
      <c r="E15" s="31" t="s">
        <v>61</v>
      </c>
      <c r="F15" s="30">
        <v>88</v>
      </c>
      <c r="G15" s="31">
        <v>30</v>
      </c>
      <c r="H15" s="30">
        <f t="shared" si="0"/>
        <v>264</v>
      </c>
      <c r="I15" s="30">
        <f>14.4+5</f>
        <v>19.399999999999999</v>
      </c>
      <c r="J15" s="30">
        <f t="shared" si="7"/>
        <v>19400</v>
      </c>
      <c r="K15" s="32">
        <f t="shared" si="8"/>
        <v>73.484848484848484</v>
      </c>
      <c r="L15" s="32">
        <v>0.5</v>
      </c>
      <c r="M15" s="30">
        <v>100</v>
      </c>
      <c r="N15" s="30">
        <v>1</v>
      </c>
      <c r="O15" s="32">
        <f t="shared" si="1"/>
        <v>26.4</v>
      </c>
      <c r="P15" s="32">
        <f t="shared" si="2"/>
        <v>13.2</v>
      </c>
      <c r="Q15" s="32">
        <f t="shared" si="3"/>
        <v>32.599999999999994</v>
      </c>
      <c r="R15" s="32">
        <f t="shared" si="9"/>
        <v>1.2348484848484846</v>
      </c>
      <c r="S15" s="31">
        <v>0.2</v>
      </c>
      <c r="T15" s="33">
        <f t="shared" si="10"/>
        <v>2.0000000000000004E-2</v>
      </c>
      <c r="U15" s="31" t="s">
        <v>52</v>
      </c>
      <c r="V15" s="31">
        <v>0.2</v>
      </c>
      <c r="W15" s="33">
        <f t="shared" si="11"/>
        <v>2.0000000000000004E-2</v>
      </c>
      <c r="X15" s="31" t="s">
        <v>52</v>
      </c>
      <c r="Y15" s="31"/>
      <c r="Z15" s="33">
        <f t="shared" si="12"/>
        <v>0</v>
      </c>
      <c r="AA15" s="31"/>
      <c r="AB15" s="44">
        <v>0.8</v>
      </c>
      <c r="AC15" s="35">
        <f t="shared" si="13"/>
        <v>8.0000000000000016E-2</v>
      </c>
      <c r="AD15" s="44" t="s">
        <v>54</v>
      </c>
      <c r="AE15" s="31">
        <v>0.5</v>
      </c>
      <c r="AF15" s="31">
        <v>1</v>
      </c>
      <c r="AG15" s="31">
        <v>1</v>
      </c>
      <c r="AH15" s="31">
        <v>0.5</v>
      </c>
      <c r="AI15" s="31">
        <v>0.5</v>
      </c>
      <c r="AJ15" s="36">
        <f t="shared" si="4"/>
        <v>3.5</v>
      </c>
      <c r="AK15" s="33">
        <f t="shared" si="14"/>
        <v>0.35000000000000003</v>
      </c>
      <c r="AL15" s="31"/>
      <c r="AM15" s="31">
        <v>0</v>
      </c>
      <c r="AN15" s="31">
        <v>0</v>
      </c>
      <c r="AO15" s="31">
        <v>0.5</v>
      </c>
      <c r="AP15" s="36">
        <f t="shared" si="5"/>
        <v>0.5</v>
      </c>
      <c r="AQ15" s="37">
        <f t="shared" si="15"/>
        <v>0.05</v>
      </c>
      <c r="AR15" s="31"/>
      <c r="AS15" s="31">
        <v>1</v>
      </c>
      <c r="AT15" s="37">
        <f t="shared" si="16"/>
        <v>0.1</v>
      </c>
      <c r="AU15" s="31"/>
      <c r="AV15" s="31">
        <v>1</v>
      </c>
      <c r="AW15" s="31">
        <v>0</v>
      </c>
      <c r="AX15" s="31">
        <v>1</v>
      </c>
      <c r="AY15" s="36">
        <f t="shared" si="17"/>
        <v>2</v>
      </c>
      <c r="AZ15" s="33">
        <f t="shared" si="18"/>
        <v>0.2</v>
      </c>
      <c r="BA15" s="31"/>
      <c r="BB15" s="31">
        <v>0</v>
      </c>
      <c r="BC15" s="31">
        <v>1</v>
      </c>
      <c r="BD15" s="31">
        <v>0</v>
      </c>
      <c r="BE15" s="31">
        <v>1</v>
      </c>
      <c r="BF15" s="31">
        <v>0</v>
      </c>
      <c r="BG15" s="31">
        <f t="shared" si="19"/>
        <v>2</v>
      </c>
      <c r="BH15" s="37">
        <f t="shared" si="20"/>
        <v>0.2</v>
      </c>
      <c r="BI15" s="31"/>
      <c r="BJ15" s="31">
        <v>0</v>
      </c>
      <c r="BK15" s="37">
        <f t="shared" si="21"/>
        <v>0</v>
      </c>
      <c r="BL15" s="38"/>
      <c r="BM15" s="50">
        <f t="shared" si="22"/>
        <v>0.67000000000000015</v>
      </c>
      <c r="BN15" s="24" t="str">
        <f t="shared" si="23"/>
        <v>Alta</v>
      </c>
      <c r="BO15" s="51">
        <f t="shared" si="24"/>
        <v>0.35000000000000003</v>
      </c>
      <c r="BP15" s="25" t="str">
        <f t="shared" si="25"/>
        <v>Media</v>
      </c>
      <c r="BQ15" s="52">
        <f t="shared" si="26"/>
        <v>1.0200000000000002</v>
      </c>
      <c r="BR15" s="53" t="s">
        <v>62</v>
      </c>
      <c r="BS15" s="27" t="str">
        <f t="shared" si="27"/>
        <v>Muy alta</v>
      </c>
    </row>
    <row r="16" spans="1:71" ht="15" thickBot="1" x14ac:dyDescent="0.35">
      <c r="A16" s="56" t="s">
        <v>72</v>
      </c>
      <c r="B16" s="57">
        <v>27192</v>
      </c>
      <c r="C16" s="58">
        <v>11003</v>
      </c>
      <c r="D16" s="59">
        <f t="shared" si="6"/>
        <v>3</v>
      </c>
      <c r="E16" s="59" t="s">
        <v>61</v>
      </c>
      <c r="F16" s="58">
        <v>75</v>
      </c>
      <c r="G16" s="59">
        <v>0</v>
      </c>
      <c r="H16" s="58">
        <f t="shared" si="0"/>
        <v>225</v>
      </c>
      <c r="I16" s="58">
        <v>50</v>
      </c>
      <c r="J16" s="58">
        <f t="shared" si="7"/>
        <v>50000</v>
      </c>
      <c r="K16" s="60">
        <f t="shared" si="8"/>
        <v>222.22222222222223</v>
      </c>
      <c r="L16" s="60">
        <v>1</v>
      </c>
      <c r="M16" s="58">
        <v>100</v>
      </c>
      <c r="N16" s="58">
        <v>1</v>
      </c>
      <c r="O16" s="60">
        <f t="shared" si="1"/>
        <v>22.5</v>
      </c>
      <c r="P16" s="60">
        <f t="shared" si="2"/>
        <v>22.5</v>
      </c>
      <c r="Q16" s="60">
        <f t="shared" si="3"/>
        <v>72.5</v>
      </c>
      <c r="R16" s="60">
        <f t="shared" si="9"/>
        <v>3.2222222222222223</v>
      </c>
      <c r="S16" s="59">
        <v>0.2</v>
      </c>
      <c r="T16" s="61">
        <f t="shared" si="10"/>
        <v>2.0000000000000004E-2</v>
      </c>
      <c r="U16" s="59" t="s">
        <v>52</v>
      </c>
      <c r="V16" s="59">
        <v>0.2</v>
      </c>
      <c r="W16" s="61">
        <f t="shared" si="11"/>
        <v>2.0000000000000004E-2</v>
      </c>
      <c r="X16" s="59" t="s">
        <v>52</v>
      </c>
      <c r="Y16" s="59"/>
      <c r="Z16" s="61">
        <f t="shared" si="12"/>
        <v>0</v>
      </c>
      <c r="AA16" s="59"/>
      <c r="AB16" s="59">
        <v>0.2</v>
      </c>
      <c r="AC16" s="61">
        <f t="shared" si="13"/>
        <v>2.0000000000000004E-2</v>
      </c>
      <c r="AD16" s="59" t="s">
        <v>52</v>
      </c>
      <c r="AE16" s="59">
        <v>0.5</v>
      </c>
      <c r="AF16" s="59">
        <v>0.5</v>
      </c>
      <c r="AG16" s="59">
        <v>1</v>
      </c>
      <c r="AH16" s="59">
        <v>0.5</v>
      </c>
      <c r="AI16" s="59">
        <v>0.5</v>
      </c>
      <c r="AJ16" s="62">
        <f t="shared" si="4"/>
        <v>3</v>
      </c>
      <c r="AK16" s="61">
        <f t="shared" si="14"/>
        <v>0.30000000000000004</v>
      </c>
      <c r="AL16" s="59"/>
      <c r="AM16" s="59">
        <v>0.5</v>
      </c>
      <c r="AN16" s="59">
        <v>0</v>
      </c>
      <c r="AO16" s="59">
        <v>0</v>
      </c>
      <c r="AP16" s="62">
        <f t="shared" si="5"/>
        <v>0.5</v>
      </c>
      <c r="AQ16" s="63">
        <f t="shared" si="15"/>
        <v>0.05</v>
      </c>
      <c r="AR16" s="59"/>
      <c r="AS16" s="59">
        <v>1</v>
      </c>
      <c r="AT16" s="63">
        <f t="shared" si="16"/>
        <v>0.1</v>
      </c>
      <c r="AU16" s="59"/>
      <c r="AV16" s="59">
        <v>1</v>
      </c>
      <c r="AW16" s="59">
        <v>1</v>
      </c>
      <c r="AX16" s="59">
        <v>0</v>
      </c>
      <c r="AY16" s="62">
        <f t="shared" si="17"/>
        <v>2</v>
      </c>
      <c r="AZ16" s="61">
        <f t="shared" si="18"/>
        <v>0.2</v>
      </c>
      <c r="BA16" s="59"/>
      <c r="BB16" s="59">
        <v>0.5</v>
      </c>
      <c r="BC16" s="59">
        <v>1</v>
      </c>
      <c r="BD16" s="59">
        <v>1</v>
      </c>
      <c r="BE16" s="59">
        <v>1</v>
      </c>
      <c r="BF16" s="59">
        <v>1</v>
      </c>
      <c r="BG16" s="64">
        <f t="shared" si="19"/>
        <v>4.5</v>
      </c>
      <c r="BH16" s="65">
        <f t="shared" si="20"/>
        <v>0.45</v>
      </c>
      <c r="BI16" s="59"/>
      <c r="BJ16" s="59">
        <v>1</v>
      </c>
      <c r="BK16" s="63">
        <f t="shared" si="21"/>
        <v>0.1</v>
      </c>
      <c r="BL16" s="66"/>
      <c r="BM16" s="67">
        <f t="shared" si="22"/>
        <v>0.56000000000000005</v>
      </c>
      <c r="BN16" s="24" t="str">
        <f t="shared" si="23"/>
        <v>Media</v>
      </c>
      <c r="BO16" s="68">
        <f t="shared" si="24"/>
        <v>0.70000000000000007</v>
      </c>
      <c r="BP16" s="25" t="str">
        <f t="shared" si="25"/>
        <v>Alta</v>
      </c>
      <c r="BQ16" s="69">
        <f t="shared" si="26"/>
        <v>1.2600000000000002</v>
      </c>
      <c r="BR16" s="70" t="s">
        <v>62</v>
      </c>
      <c r="BS16" s="27" t="str">
        <f t="shared" si="27"/>
        <v>Muy alta</v>
      </c>
    </row>
  </sheetData>
  <mergeCells count="10">
    <mergeCell ref="AS1:AU1"/>
    <mergeCell ref="AY1:BA1"/>
    <mergeCell ref="BG1:BI1"/>
    <mergeCell ref="BJ1:BL1"/>
    <mergeCell ref="S1:U1"/>
    <mergeCell ref="V1:X1"/>
    <mergeCell ref="Y1:AA1"/>
    <mergeCell ref="AB1:AD1"/>
    <mergeCell ref="AJ1:AL1"/>
    <mergeCell ref="AP1:A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FIERRO VIEDMA</dc:creator>
  <cp:lastModifiedBy>Nicolas FIERRO VIEDMA</cp:lastModifiedBy>
  <dcterms:created xsi:type="dcterms:W3CDTF">2025-11-30T18:21:17Z</dcterms:created>
  <dcterms:modified xsi:type="dcterms:W3CDTF">2025-11-30T18:24:03Z</dcterms:modified>
</cp:coreProperties>
</file>